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ty-my.sharepoint.com/personal/german_alonso_cotyinc_com/Documents/Desktop/"/>
    </mc:Choice>
  </mc:AlternateContent>
  <xr:revisionPtr revIDLastSave="88" documentId="8_{A3894B36-9BBB-4008-8418-DF40CBAACFFC}" xr6:coauthVersionLast="47" xr6:coauthVersionMax="47" xr10:uidLastSave="{A60E66BE-57BD-4632-8F0A-A702BD43BEE6}"/>
  <bookViews>
    <workbookView minimized="1" xWindow="40275" yWindow="3210" windowWidth="14400" windowHeight="7275" activeTab="1" xr2:uid="{15E96C65-0605-4B09-A126-EB257CF3D7EA}"/>
  </bookViews>
  <sheets>
    <sheet name="BEFORE" sheetId="1" r:id="rId1"/>
    <sheet name="AFTER" sheetId="6" r:id="rId2"/>
    <sheet name="REAS O" sheetId="5" r:id="rId3"/>
    <sheet name="EPOS" sheetId="3" r:id="rId4"/>
    <sheet name="REAS I" sheetId="4" r:id="rId5"/>
  </sheets>
  <definedNames>
    <definedName name="_xlchart.v1.0" hidden="1">BEFORE!$C$5:$D$5</definedName>
    <definedName name="_xlchart.v1.1" hidden="1">BEFORE!$E$5:$F$5</definedName>
    <definedName name="_xlchart.v1.10" hidden="1">BEFORE!$K$2:$L$2</definedName>
    <definedName name="_xlchart.v1.11" hidden="1">BEFORE!$M$2:$N$2</definedName>
    <definedName name="_xlchart.v1.12" hidden="1">BEFORE!$C$3:$D$3</definedName>
    <definedName name="_xlchart.v1.13" hidden="1">BEFORE!$E$3:$F$3</definedName>
    <definedName name="_xlchart.v1.14" hidden="1">BEFORE!$G$3:$H$3</definedName>
    <definedName name="_xlchart.v1.15" hidden="1">BEFORE!$I$3:$J$3</definedName>
    <definedName name="_xlchart.v1.16" hidden="1">BEFORE!$K$3:$L$3</definedName>
    <definedName name="_xlchart.v1.17" hidden="1">BEFORE!$M$3:$N$3</definedName>
    <definedName name="_xlchart.v1.18" hidden="1">BEFORE!$C$4:$D$4</definedName>
    <definedName name="_xlchart.v1.19" hidden="1">BEFORE!$E$4:$F$4</definedName>
    <definedName name="_xlchart.v1.2" hidden="1">BEFORE!$G$5:$H$5</definedName>
    <definedName name="_xlchart.v1.20" hidden="1">BEFORE!$G$4:$H$4</definedName>
    <definedName name="_xlchart.v1.21" hidden="1">BEFORE!$I$4:$J$4</definedName>
    <definedName name="_xlchart.v1.22" hidden="1">BEFORE!$K$4:$L$4</definedName>
    <definedName name="_xlchart.v1.23" hidden="1">BEFORE!$M$4:$N$4</definedName>
    <definedName name="_xlchart.v1.24" hidden="1">AFTER!$C$3:$D$3</definedName>
    <definedName name="_xlchart.v1.25" hidden="1">AFTER!$E$3:$F$3</definedName>
    <definedName name="_xlchart.v1.26" hidden="1">AFTER!$G$3:$H$3</definedName>
    <definedName name="_xlchart.v1.27" hidden="1">AFTER!$I$3:$J$3</definedName>
    <definedName name="_xlchart.v1.28" hidden="1">AFTER!$K$3:$L$3</definedName>
    <definedName name="_xlchart.v1.29" hidden="1">AFTER!$M$3:$N$3</definedName>
    <definedName name="_xlchart.v1.3" hidden="1">BEFORE!$I$5:$J$5</definedName>
    <definedName name="_xlchart.v1.30" hidden="1">AFTER!$C$5:$D$5</definedName>
    <definedName name="_xlchart.v1.31" hidden="1">AFTER!$E$5:$F$5</definedName>
    <definedName name="_xlchart.v1.32" hidden="1">AFTER!$G$5:$H$5</definedName>
    <definedName name="_xlchart.v1.33" hidden="1">AFTER!$I$5:$J$5</definedName>
    <definedName name="_xlchart.v1.34" hidden="1">AFTER!$K$5:$L$5</definedName>
    <definedName name="_xlchart.v1.35" hidden="1">AFTER!$M$5:$N$5</definedName>
    <definedName name="_xlchart.v1.36" hidden="1">AFTER!$C$3:$D$3</definedName>
    <definedName name="_xlchart.v1.37" hidden="1">AFTER!$E$3:$F$3</definedName>
    <definedName name="_xlchart.v1.38" hidden="1">AFTER!$G$3:$H$3</definedName>
    <definedName name="_xlchart.v1.39" hidden="1">AFTER!$I$3:$J$3</definedName>
    <definedName name="_xlchart.v1.4" hidden="1">BEFORE!$K$5:$L$5</definedName>
    <definedName name="_xlchart.v1.40" hidden="1">AFTER!$K$3:$L$3</definedName>
    <definedName name="_xlchart.v1.41" hidden="1">AFTER!$M$3:$N$3</definedName>
    <definedName name="_xlchart.v1.42" hidden="1">AFTER!$C$4:$D$4</definedName>
    <definedName name="_xlchart.v1.43" hidden="1">AFTER!$E$4:$F$4</definedName>
    <definedName name="_xlchart.v1.44" hidden="1">AFTER!$G$4:$H$4</definedName>
    <definedName name="_xlchart.v1.45" hidden="1">AFTER!$I$4:$J$4</definedName>
    <definedName name="_xlchart.v1.46" hidden="1">AFTER!$K$4:$L$4</definedName>
    <definedName name="_xlchart.v1.47" hidden="1">AFTER!$M$4:$N$4</definedName>
    <definedName name="_xlchart.v1.48" hidden="1">AFTER!$C$2:$D$2</definedName>
    <definedName name="_xlchart.v1.49" hidden="1">AFTER!$E$2:$F$2</definedName>
    <definedName name="_xlchart.v1.5" hidden="1">BEFORE!$M$5:$N$5</definedName>
    <definedName name="_xlchart.v1.50" hidden="1">AFTER!$G$2:$H$2</definedName>
    <definedName name="_xlchart.v1.51" hidden="1">AFTER!$I$2:$J$2</definedName>
    <definedName name="_xlchart.v1.52" hidden="1">AFTER!$K$2:$L$2</definedName>
    <definedName name="_xlchart.v1.53" hidden="1">AFTER!$M$2:$N$2</definedName>
    <definedName name="_xlchart.v1.6" hidden="1">BEFORE!$C$2:$D$2</definedName>
    <definedName name="_xlchart.v1.7" hidden="1">BEFORE!$E$2:$F$2</definedName>
    <definedName name="_xlchart.v1.8" hidden="1">BEFORE!$G$2:$H$2</definedName>
    <definedName name="_xlchart.v1.9" hidden="1">BEFORE!$I$2:$J$2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6" l="1"/>
  <c r="N3" i="6" s="1"/>
  <c r="M4" i="6"/>
  <c r="N4" i="6" s="1"/>
  <c r="M5" i="6"/>
  <c r="M6" i="6"/>
  <c r="M2" i="6"/>
  <c r="N2" i="6" s="1"/>
  <c r="K3" i="6"/>
  <c r="L3" i="6" s="1"/>
  <c r="K4" i="6"/>
  <c r="K5" i="6"/>
  <c r="L5" i="6" s="1"/>
  <c r="K6" i="6"/>
  <c r="K2" i="6"/>
  <c r="L2" i="6" s="1"/>
  <c r="I3" i="6"/>
  <c r="J3" i="6" s="1"/>
  <c r="I4" i="6"/>
  <c r="J4" i="6" s="1"/>
  <c r="I5" i="6"/>
  <c r="J5" i="6" s="1"/>
  <c r="I6" i="6"/>
  <c r="J6" i="6" s="1"/>
  <c r="I2" i="6"/>
  <c r="J2" i="6" s="1"/>
  <c r="G3" i="6"/>
  <c r="G4" i="6"/>
  <c r="H4" i="6" s="1"/>
  <c r="G5" i="6"/>
  <c r="H5" i="6" s="1"/>
  <c r="G6" i="6"/>
  <c r="G2" i="6"/>
  <c r="F3" i="6"/>
  <c r="F4" i="6"/>
  <c r="F5" i="6"/>
  <c r="F6" i="6"/>
  <c r="F2" i="6"/>
  <c r="E3" i="6"/>
  <c r="E4" i="6"/>
  <c r="E5" i="6"/>
  <c r="E6" i="6"/>
  <c r="E2" i="6"/>
  <c r="B3" i="6"/>
  <c r="B4" i="6"/>
  <c r="B5" i="6"/>
  <c r="B6" i="6"/>
  <c r="B2" i="6"/>
  <c r="N6" i="6"/>
  <c r="L6" i="6"/>
  <c r="H6" i="6"/>
  <c r="D6" i="6"/>
  <c r="C6" i="6"/>
  <c r="N5" i="6"/>
  <c r="D5" i="6"/>
  <c r="C5" i="6"/>
  <c r="L4" i="6"/>
  <c r="D4" i="6"/>
  <c r="C4" i="6"/>
  <c r="H3" i="6"/>
  <c r="D3" i="6"/>
  <c r="C3" i="6"/>
  <c r="H2" i="6"/>
  <c r="D2" i="6"/>
  <c r="C2" i="6"/>
  <c r="N6" i="1"/>
  <c r="N5" i="1"/>
  <c r="N4" i="1"/>
  <c r="N3" i="1"/>
  <c r="L6" i="1"/>
  <c r="L5" i="1"/>
  <c r="L4" i="1"/>
  <c r="L3" i="1"/>
  <c r="J6" i="1"/>
  <c r="J5" i="1"/>
  <c r="J4" i="1"/>
  <c r="J3" i="1"/>
  <c r="H3" i="1"/>
  <c r="H4" i="1"/>
  <c r="H5" i="1"/>
  <c r="H6" i="1"/>
  <c r="H2" i="1"/>
  <c r="G3" i="1"/>
  <c r="I3" i="1"/>
  <c r="K3" i="1"/>
  <c r="M3" i="1"/>
  <c r="G4" i="1"/>
  <c r="I4" i="1"/>
  <c r="K4" i="1"/>
  <c r="M4" i="1"/>
  <c r="G5" i="1"/>
  <c r="I5" i="1"/>
  <c r="K5" i="1"/>
  <c r="M5" i="1"/>
  <c r="G6" i="1"/>
  <c r="I6" i="1"/>
  <c r="K6" i="1"/>
  <c r="M6" i="1"/>
  <c r="M2" i="1"/>
  <c r="N2" i="1" s="1"/>
  <c r="K2" i="1"/>
  <c r="L2" i="1" s="1"/>
  <c r="I2" i="1"/>
  <c r="J2" i="1" s="1"/>
  <c r="G2" i="1"/>
  <c r="E3" i="1"/>
  <c r="F3" i="1"/>
  <c r="E4" i="1"/>
  <c r="F4" i="1"/>
  <c r="E5" i="1"/>
  <c r="F5" i="1"/>
  <c r="E6" i="1"/>
  <c r="F6" i="1"/>
  <c r="F2" i="1"/>
  <c r="E2" i="1"/>
  <c r="C3" i="1"/>
  <c r="D3" i="1"/>
  <c r="C4" i="1"/>
  <c r="D4" i="1"/>
  <c r="C5" i="1"/>
  <c r="D5" i="1"/>
  <c r="C6" i="1"/>
  <c r="D6" i="1"/>
  <c r="D2" i="1"/>
  <c r="C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<sst xmlns="http://schemas.openxmlformats.org/spreadsheetml/2006/main" count="1393" uniqueCount="80">
  <si>
    <t>Product Line in o9</t>
  </si>
  <si>
    <t>Gucci</t>
  </si>
  <si>
    <t>FY27</t>
  </si>
  <si>
    <t>TIME PERIOD</t>
  </si>
  <si>
    <t>WTD</t>
  </si>
  <si>
    <t>MTD</t>
  </si>
  <si>
    <t>QTD</t>
  </si>
  <si>
    <t>FYTD</t>
  </si>
  <si>
    <t>CYTD</t>
  </si>
  <si>
    <t>L4W</t>
  </si>
  <si>
    <t>L13W</t>
  </si>
  <si>
    <t>L26W</t>
  </si>
  <si>
    <t>L52W</t>
  </si>
  <si>
    <t>CATEGORY</t>
  </si>
  <si>
    <t>HOUSE</t>
  </si>
  <si>
    <t>BRAND</t>
  </si>
  <si>
    <t>Line</t>
  </si>
  <si>
    <t>$</t>
  </si>
  <si>
    <t>YoY Δ</t>
  </si>
  <si>
    <t>YoY %</t>
  </si>
  <si>
    <t>Fragrance</t>
  </si>
  <si>
    <t>Total</t>
  </si>
  <si>
    <t>Gucci Flora</t>
  </si>
  <si>
    <t>Gucci Flora Gorgeous Magnolia</t>
  </si>
  <si>
    <t>Gorgeous Gardenia</t>
  </si>
  <si>
    <t>Gucci Flora Gorgeous Orchid Intense</t>
  </si>
  <si>
    <t>Gucci Flora Gorgeous Orchid</t>
  </si>
  <si>
    <t>Gucci Flora Gorgeous Gardenia Intense</t>
  </si>
  <si>
    <t>Flora Gorgeous Jasmine</t>
  </si>
  <si>
    <t>Gucci Guilty</t>
  </si>
  <si>
    <t>Gucci Bloom</t>
  </si>
  <si>
    <t>Gucci Luxury Collection</t>
  </si>
  <si>
    <t>Gucci by Gucci</t>
  </si>
  <si>
    <t>Gucci Bamboo</t>
  </si>
  <si>
    <t>Gucci Heritage Lines</t>
  </si>
  <si>
    <t>Flora by Gucci</t>
  </si>
  <si>
    <t>Gucci Memoire d'une Odeur</t>
  </si>
  <si>
    <t>Gucci Premiere</t>
  </si>
  <si>
    <t>L1</t>
  </si>
  <si>
    <t>FY</t>
  </si>
  <si>
    <t>H</t>
  </si>
  <si>
    <t>Q</t>
  </si>
  <si>
    <t>M</t>
  </si>
  <si>
    <t>L2</t>
  </si>
  <si>
    <t>L3</t>
  </si>
  <si>
    <t>H01</t>
  </si>
  <si>
    <t>H02</t>
  </si>
  <si>
    <t>Q01</t>
  </si>
  <si>
    <t>Q02</t>
  </si>
  <si>
    <t>Q03</t>
  </si>
  <si>
    <t>Q04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</si>
  <si>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</si>
  <si>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</si>
  <si>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</si>
  <si>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</si>
  <si>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</si>
  <si>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</si>
  <si>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</si>
  <si>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</si>
  <si>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</si>
  <si>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</si>
  <si>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</si>
  <si>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</si>
  <si>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Product_line</t>
  </si>
  <si>
    <t>Act + Fcst</t>
  </si>
  <si>
    <t>Year Ago (YA)</t>
  </si>
  <si>
    <t>% vs YA</t>
  </si>
  <si>
    <t>Δ YA</t>
  </si>
  <si>
    <t>SPP3 %</t>
  </si>
  <si>
    <t>% L6M vs YA</t>
  </si>
  <si>
    <t>% L12M vs YA</t>
  </si>
  <si>
    <t>o9 Cuts</t>
  </si>
  <si>
    <t>TOTAL VALUE</t>
  </si>
  <si>
    <t xml:space="preserve">EPOS 6M </t>
  </si>
  <si>
    <t xml:space="preserve">EPOS 12M </t>
  </si>
  <si>
    <t>Q2</t>
  </si>
  <si>
    <t>Q3</t>
  </si>
  <si>
    <t>Q4</t>
  </si>
  <si>
    <t>REAS 6M</t>
  </si>
  <si>
    <t>REAS 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</si>
</sst>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\$#,##0;\(\$#,##0\);\$#,##0"/>
    <numFmt numFmtId="165" formatCode="\$#,##0.0;\(\$#,##0.0\);\$#,##0.0"/>
    <numFmt numFmtId="166" formatCode="0%;\-0%;0%"/>
    <numFmt numFmtId="167" formatCode="\$#,##0"/>
    <numFmt numFmtId="168" formatCode="0.0%;\-0.0%;0.0%"/>
    <numFmt numFmtId="169" formatCode="_-* #,##0\ &quot;€&quot;_-;\-* #,##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2" fillId="0" borderId="0" xfId="3" applyFont="1"/>
    <xf numFmtId="0" fontId="1" fillId="0" borderId="0" xfId="3"/>
    <xf numFmtId="9" fontId="0" fillId="0" borderId="0" xfId="2" applyFont="1"/>
    <xf numFmtId="0" fontId="0" fillId="0" borderId="0" xfId="0" applyAlignment="1">
      <alignment vertical="top"/>
    </xf>
    <xf numFmtId="0" fontId="0" fillId="0" borderId="1" xfId="0" applyBorder="1"/>
    <xf numFmtId="0" fontId="3" fillId="0" borderId="0" xfId="0" applyFont="1" applyAlignment="1">
      <alignment vertical="top"/>
    </xf>
    <xf numFmtId="0" fontId="0" fillId="0" borderId="2" xfId="0" applyBorder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3" fillId="0" borderId="2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9" fontId="0" fillId="0" borderId="0" xfId="1" applyNumberFormat="1" applyFont="1"/>
    <xf numFmtId="0" fontId="1" fillId="2" borderId="0" xfId="3" applyFill="1"/>
  </cellXfs>
  <cellStyles count="4">
    <cellStyle name="Currency" xfId="1" builtinId="4"/>
    <cellStyle name="Normal" xfId="0" builtinId="0"/>
    <cellStyle name="Normal 2" xfId="3" xr:uid="{5A3BC0AB-6B6F-4FAA-B1FA-1860FCB73B7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_xlchart.v1.6</cx:f>
      </cx:numDim>
    </cx:data>
    <cx:data id="1">
      <cx:numDim type="val">
        <cx:f dir="row">_xlchart.v1.7</cx:f>
      </cx:numDim>
    </cx:data>
    <cx:data id="2">
      <cx:numDim type="val">
        <cx:f dir="row">_xlchart.v1.8</cx:f>
      </cx:numDim>
    </cx:data>
    <cx:data id="3">
      <cx:numDim type="val">
        <cx:f dir="row">_xlchart.v1.9</cx:f>
      </cx:numDim>
    </cx:data>
    <cx:data id="4">
      <cx:numDim type="val">
        <cx:f dir="row">_xlchart.v1.10</cx:f>
      </cx:numDim>
    </cx:data>
    <cx:data id="5">
      <cx:numDim type="val">
        <cx:f dir="row"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Gorgeous Gardenia </a:t>
            </a:r>
            <a:r>
              <a:rPr lang="en-US">
                <a:effectLst/>
              </a:rPr>
              <a:t>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07B5-4D05-BD3A-1A5182ED3C1D}">
          <cx:tx>
            <cx:txData>
              <cx:f/>
              <cx:v>SELLIN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7B5-4D05-BD3A-1A5182ED3C1D}">
          <cx:tx>
            <cx:txData>
              <cx:f/>
              <cx:v>SELLOUT</cx:v>
            </cx:txData>
          </cx:tx>
          <cx:spPr>
            <a:solidFill>
              <a:srgbClr val="0070C0"/>
            </a:solidFill>
            <a:ln>
              <a:solidFill>
                <a:srgbClr val="0070C0"/>
              </a:solidFill>
            </a:ln>
          </cx:spPr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0000002-07B5-4D05-BD3A-1A5182ED3C1D}">
          <cx:tx>
            <cx:txData>
              <cx:f/>
              <cx:v>Q2</cx:v>
            </cx:txData>
          </cx:tx>
          <cx:spPr>
            <a:solidFill>
              <a:srgbClr val="C00000"/>
            </a:solidFill>
            <a:ln cmpd="thickThin">
              <a:solidFill>
                <a:srgbClr val="C00000"/>
              </a:solidFill>
            </a:ln>
          </cx:spPr>
          <cx:dataPt idx="5">
            <cx:spPr>
              <a:ln w="127000">
                <a:solidFill>
                  <a:srgbClr val="C00000"/>
                </a:solidFill>
              </a:ln>
            </cx:spPr>
          </cx:dataPt>
          <cx:dataId val="2"/>
          <cx:layoutPr>
            <cx:statistics quartileMethod="exclusive"/>
          </cx:layoutPr>
        </cx:series>
        <cx:series layoutId="boxWhisker" uniqueId="{00000003-07B5-4D05-BD3A-1A5182ED3C1D}">
          <cx:tx>
            <cx:txData>
              <cx:f/>
              <cx:v>Q3</cx:v>
            </cx:txData>
          </cx:tx>
          <cx:spPr>
            <a:solidFill>
              <a:srgbClr val="7030A0"/>
            </a:solidFill>
            <a:ln w="12700">
              <a:solidFill>
                <a:srgbClr val="7030A0"/>
              </a:solidFill>
            </a:ln>
          </cx:spPr>
          <cx:dataPt idx="5">
            <cx:spPr>
              <a:ln w="127000"/>
            </cx:spPr>
          </cx:dataPt>
          <cx:dataId val="3"/>
          <cx:layoutPr>
            <cx:statistics quartileMethod="exclusive"/>
          </cx:layoutPr>
        </cx:series>
        <cx:series layoutId="boxWhisker" uniqueId="{00000004-07B5-4D05-BD3A-1A5182ED3C1D}">
          <cx:tx>
            <cx:txData>
              <cx:f/>
              <cx:v>Q4</cx:v>
            </cx:txData>
          </cx:tx>
          <cx:spPr>
            <a:solidFill>
              <a:srgbClr val="FFC000"/>
            </a:solidFill>
            <a:ln>
              <a:solidFill>
                <a:srgbClr val="FFC000"/>
              </a:solidFill>
            </a:ln>
          </cx:spPr>
          <cx:dataPt idx="5">
            <cx:spPr>
              <a:ln w="127000">
                <a:solidFill>
                  <a:srgbClr val="FFC000"/>
                </a:solidFill>
              </a:ln>
            </cx:spPr>
          </cx:dataPt>
          <cx:dataId val="4"/>
          <cx:layoutPr>
            <cx:visibility nonoutliers="0"/>
            <cx:statistics quartileMethod="exclusive"/>
          </cx:layoutPr>
        </cx:series>
        <cx:series layoutId="boxWhisker" uniqueId="{00000005-07B5-4D05-BD3A-1A5182ED3C1D}">
          <cx:tx>
            <cx:txData>
              <cx:f/>
              <cx:v>FY</cx:v>
            </cx:txData>
          </cx:tx>
          <cx:spPr>
            <a:solidFill>
              <a:srgbClr val="00B050"/>
            </a:solidFill>
            <a:ln>
              <a:solidFill>
                <a:srgbClr val="00B050"/>
              </a:solidFill>
            </a:ln>
          </cx:spPr>
          <cx:dataPt idx="5">
            <cx:spPr>
              <a:ln w="127000">
                <a:solidFill>
                  <a:srgbClr val="00B050"/>
                </a:solidFill>
              </a:ln>
            </cx:spPr>
          </cx:dataPt>
          <cx:dataId val="5"/>
          <cx:layoutPr>
            <cx:statistics quartileMethod="exclusive"/>
          </cx:layoutPr>
        </cx:series>
      </cx:plotAreaRegion>
      <cx:axis id="0">
        <cx:catScaling gapWidth="0.319999993"/>
        <cx:tickLabels/>
      </cx:axis>
      <cx:axis id="1">
        <cx:valScaling/>
        <cx:majorGridlines/>
        <cx:minorGridlines/>
        <cx:tickLabels/>
      </cx:axis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mpd="sng">
      <a:solidFill>
        <a:schemeClr val="accent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_xlchart.v1.12</cx:f>
      </cx:numDim>
    </cx:data>
    <cx:data id="1">
      <cx:numDim type="val">
        <cx:f dir="row">_xlchart.v1.13</cx:f>
      </cx:numDim>
    </cx:data>
    <cx:data id="2">
      <cx:numDim type="val">
        <cx:f dir="row">_xlchart.v1.14</cx:f>
      </cx:numDim>
    </cx:data>
    <cx:data id="3">
      <cx:numDim type="val">
        <cx:f dir="row">_xlchart.v1.15</cx:f>
      </cx:numDim>
    </cx:data>
    <cx:data id="4">
      <cx:numDim type="val">
        <cx:f dir="row">_xlchart.v1.16</cx:f>
      </cx:numDim>
    </cx:data>
    <cx:data id="5">
      <cx:numDim type="val">
        <cx:f dir="row"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Flora Gorgeous Jasmine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07B5-4D05-BD3A-1A5182ED3C1D}">
          <cx:tx>
            <cx:txData>
              <cx:f/>
              <cx:v>SELLIN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7B5-4D05-BD3A-1A5182ED3C1D}">
          <cx:tx>
            <cx:txData>
              <cx:f/>
              <cx:v>SELLOUT</cx:v>
            </cx:txData>
          </cx:tx>
          <cx:spPr>
            <a:solidFill>
              <a:srgbClr val="0070C0"/>
            </a:solidFill>
            <a:ln>
              <a:solidFill>
                <a:srgbClr val="0070C0"/>
              </a:solidFill>
            </a:ln>
          </cx:spPr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0000002-07B5-4D05-BD3A-1A5182ED3C1D}">
          <cx:tx>
            <cx:txData>
              <cx:f/>
              <cx:v>Q2</cx:v>
            </cx:txData>
          </cx:tx>
          <cx:spPr>
            <a:solidFill>
              <a:srgbClr val="C00000"/>
            </a:solidFill>
            <a:ln cmpd="thickThin">
              <a:solidFill>
                <a:srgbClr val="C00000"/>
              </a:solidFill>
            </a:ln>
          </cx:spPr>
          <cx:dataPt idx="5">
            <cx:spPr>
              <a:ln w="127000">
                <a:solidFill>
                  <a:srgbClr val="C00000"/>
                </a:solidFill>
              </a:ln>
            </cx:spPr>
          </cx:dataPt>
          <cx:dataId val="2"/>
          <cx:layoutPr>
            <cx:statistics quartileMethod="exclusive"/>
          </cx:layoutPr>
        </cx:series>
        <cx:series layoutId="boxWhisker" uniqueId="{00000003-07B5-4D05-BD3A-1A5182ED3C1D}">
          <cx:tx>
            <cx:txData>
              <cx:f/>
              <cx:v>Q3</cx:v>
            </cx:txData>
          </cx:tx>
          <cx:spPr>
            <a:solidFill>
              <a:srgbClr val="7030A0"/>
            </a:solidFill>
            <a:ln w="12700">
              <a:solidFill>
                <a:srgbClr val="7030A0"/>
              </a:solidFill>
            </a:ln>
          </cx:spPr>
          <cx:dataPt idx="5">
            <cx:spPr>
              <a:ln w="127000"/>
            </cx:spPr>
          </cx:dataPt>
          <cx:dataId val="3"/>
          <cx:layoutPr>
            <cx:statistics quartileMethod="exclusive"/>
          </cx:layoutPr>
        </cx:series>
        <cx:series layoutId="boxWhisker" uniqueId="{00000004-07B5-4D05-BD3A-1A5182ED3C1D}">
          <cx:tx>
            <cx:txData>
              <cx:f/>
              <cx:v>Q4</cx:v>
            </cx:txData>
          </cx:tx>
          <cx:spPr>
            <a:solidFill>
              <a:srgbClr val="FFC000"/>
            </a:solidFill>
            <a:ln>
              <a:solidFill>
                <a:srgbClr val="FFC000"/>
              </a:solidFill>
            </a:ln>
          </cx:spPr>
          <cx:dataPt idx="5">
            <cx:spPr>
              <a:ln w="127000">
                <a:solidFill>
                  <a:srgbClr val="FFC000"/>
                </a:solidFill>
              </a:ln>
            </cx:spPr>
          </cx:dataPt>
          <cx:dataId val="4"/>
          <cx:layoutPr>
            <cx:visibility nonoutliers="0"/>
            <cx:statistics quartileMethod="exclusive"/>
          </cx:layoutPr>
        </cx:series>
        <cx:series layoutId="boxWhisker" uniqueId="{00000005-07B5-4D05-BD3A-1A5182ED3C1D}">
          <cx:tx>
            <cx:txData>
              <cx:f/>
              <cx:v>FY</cx:v>
            </cx:txData>
          </cx:tx>
          <cx:spPr>
            <a:solidFill>
              <a:srgbClr val="00B050"/>
            </a:solidFill>
            <a:ln>
              <a:solidFill>
                <a:srgbClr val="00B050"/>
              </a:solidFill>
            </a:ln>
          </cx:spPr>
          <cx:dataPt idx="5">
            <cx:spPr>
              <a:ln w="127000">
                <a:solidFill>
                  <a:srgbClr val="00B050"/>
                </a:solidFill>
              </a:ln>
            </cx:spPr>
          </cx:dataPt>
          <cx:dataId val="5"/>
          <cx:layoutPr>
            <cx:statistics quartileMethod="exclusive"/>
          </cx:layoutPr>
        </cx:series>
      </cx:plotAreaRegion>
      <cx:axis id="0">
        <cx:catScaling gapWidth="0.319999993"/>
        <cx:tickLabels/>
      </cx:axis>
      <cx:axis id="1">
        <cx:valScaling/>
        <cx:majorGridlines/>
        <cx:minorGridlines/>
        <cx:tickLabels/>
      </cx:axis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mpd="sng">
      <a:solidFill>
        <a:schemeClr val="accent1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_xlchart.v1.18</cx:f>
      </cx:numDim>
    </cx:data>
    <cx:data id="1">
      <cx:numDim type="val">
        <cx:f dir="row">_xlchart.v1.19</cx:f>
      </cx:numDim>
    </cx:data>
    <cx:data id="2">
      <cx:numDim type="val">
        <cx:f dir="row">_xlchart.v1.20</cx:f>
      </cx:numDim>
    </cx:data>
    <cx:data id="3">
      <cx:numDim type="val">
        <cx:f dir="row">_xlchart.v1.21</cx:f>
      </cx:numDim>
    </cx:data>
    <cx:data id="4">
      <cx:numDim type="val">
        <cx:f dir="row">_xlchart.v1.22</cx:f>
      </cx:numDim>
    </cx:data>
    <cx:data id="5">
      <cx:numDim type="val">
        <cx:f dir="row">_xlchart.v1.23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Gucci Flora Gorgeous Magnolia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07B5-4D05-BD3A-1A5182ED3C1D}">
          <cx:tx>
            <cx:txData>
              <cx:f/>
              <cx:v>SELLIN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7B5-4D05-BD3A-1A5182ED3C1D}">
          <cx:tx>
            <cx:txData>
              <cx:f/>
              <cx:v>SELLOUT</cx:v>
            </cx:txData>
          </cx:tx>
          <cx:spPr>
            <a:solidFill>
              <a:srgbClr val="0070C0"/>
            </a:solidFill>
            <a:ln>
              <a:solidFill>
                <a:srgbClr val="0070C0"/>
              </a:solidFill>
            </a:ln>
          </cx:spPr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0000002-07B5-4D05-BD3A-1A5182ED3C1D}">
          <cx:tx>
            <cx:txData>
              <cx:f/>
              <cx:v>Q2</cx:v>
            </cx:txData>
          </cx:tx>
          <cx:spPr>
            <a:solidFill>
              <a:srgbClr val="C00000"/>
            </a:solidFill>
            <a:ln cmpd="thickThin">
              <a:solidFill>
                <a:srgbClr val="C00000"/>
              </a:solidFill>
            </a:ln>
          </cx:spPr>
          <cx:dataPt idx="5">
            <cx:spPr>
              <a:ln w="127000">
                <a:solidFill>
                  <a:srgbClr val="C00000"/>
                </a:solidFill>
              </a:ln>
            </cx:spPr>
          </cx:dataPt>
          <cx:dataId val="2"/>
          <cx:layoutPr>
            <cx:statistics quartileMethod="exclusive"/>
          </cx:layoutPr>
        </cx:series>
        <cx:series layoutId="boxWhisker" uniqueId="{00000003-07B5-4D05-BD3A-1A5182ED3C1D}">
          <cx:tx>
            <cx:txData>
              <cx:f/>
              <cx:v>Q3</cx:v>
            </cx:txData>
          </cx:tx>
          <cx:spPr>
            <a:solidFill>
              <a:srgbClr val="7030A0"/>
            </a:solidFill>
            <a:ln w="12700">
              <a:solidFill>
                <a:srgbClr val="7030A0"/>
              </a:solidFill>
            </a:ln>
          </cx:spPr>
          <cx:dataPt idx="5">
            <cx:spPr>
              <a:ln w="127000"/>
            </cx:spPr>
          </cx:dataPt>
          <cx:dataId val="3"/>
          <cx:layoutPr>
            <cx:statistics quartileMethod="exclusive"/>
          </cx:layoutPr>
        </cx:series>
        <cx:series layoutId="boxWhisker" uniqueId="{00000004-07B5-4D05-BD3A-1A5182ED3C1D}">
          <cx:tx>
            <cx:txData>
              <cx:f/>
              <cx:v>Q4</cx:v>
            </cx:txData>
          </cx:tx>
          <cx:spPr>
            <a:solidFill>
              <a:srgbClr val="FFC000"/>
            </a:solidFill>
            <a:ln>
              <a:solidFill>
                <a:srgbClr val="FFC000"/>
              </a:solidFill>
            </a:ln>
          </cx:spPr>
          <cx:dataPt idx="5">
            <cx:spPr>
              <a:ln w="127000">
                <a:solidFill>
                  <a:srgbClr val="FFC000"/>
                </a:solidFill>
              </a:ln>
            </cx:spPr>
          </cx:dataPt>
          <cx:dataId val="4"/>
          <cx:layoutPr>
            <cx:visibility nonoutliers="0"/>
            <cx:statistics quartileMethod="exclusive"/>
          </cx:layoutPr>
        </cx:series>
        <cx:series layoutId="boxWhisker" uniqueId="{00000005-07B5-4D05-BD3A-1A5182ED3C1D}">
          <cx:tx>
            <cx:txData>
              <cx:f/>
              <cx:v>FY</cx:v>
            </cx:txData>
          </cx:tx>
          <cx:spPr>
            <a:solidFill>
              <a:srgbClr val="00B050"/>
            </a:solidFill>
            <a:ln>
              <a:solidFill>
                <a:srgbClr val="00B050"/>
              </a:solidFill>
            </a:ln>
          </cx:spPr>
          <cx:dataPt idx="5">
            <cx:spPr>
              <a:ln w="127000">
                <a:solidFill>
                  <a:srgbClr val="00B050"/>
                </a:solidFill>
              </a:ln>
            </cx:spPr>
          </cx:dataPt>
          <cx:dataId val="5"/>
          <cx:layoutPr>
            <cx:statistics quartileMethod="exclusive"/>
          </cx:layoutPr>
        </cx:series>
      </cx:plotAreaRegion>
      <cx:axis id="0">
        <cx:catScaling gapWidth="0.319999993"/>
        <cx:tickLabels/>
      </cx:axis>
      <cx:axis id="1">
        <cx:valScaling/>
        <cx:majorGridlines/>
        <cx:minorGridlines/>
        <cx:tickLabels/>
      </cx:axis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mpd="sng">
      <a:solidFill>
        <a:schemeClr val="accent1"/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  <cx:data id="1">
      <cx:numDim type="val">
        <cx:f dir="row">_xlchart.v1.1</cx:f>
      </cx:numDim>
    </cx:data>
    <cx:data id="2">
      <cx:numDim type="val">
        <cx:f dir="row">_xlchart.v1.2</cx:f>
      </cx:numDim>
    </cx:data>
    <cx:data id="3">
      <cx:numDim type="val">
        <cx:f dir="row">_xlchart.v1.3</cx:f>
      </cx:numDim>
    </cx:data>
    <cx:data id="4">
      <cx:numDim type="val">
        <cx:f dir="row">_xlchart.v1.4</cx:f>
      </cx:numDim>
    </cx:data>
    <cx:data id="5">
      <cx:numDim type="val">
        <cx:f dir="row"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Gucci Flora Gorgeous Orchid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07B5-4D05-BD3A-1A5182ED3C1D}">
          <cx:tx>
            <cx:txData>
              <cx:f/>
              <cx:v>SELLIN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7B5-4D05-BD3A-1A5182ED3C1D}">
          <cx:tx>
            <cx:txData>
              <cx:f/>
              <cx:v>SELLOUT</cx:v>
            </cx:txData>
          </cx:tx>
          <cx:spPr>
            <a:solidFill>
              <a:srgbClr val="0070C0"/>
            </a:solidFill>
            <a:ln>
              <a:solidFill>
                <a:srgbClr val="0070C0"/>
              </a:solidFill>
            </a:ln>
          </cx:spPr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0000002-07B5-4D05-BD3A-1A5182ED3C1D}">
          <cx:tx>
            <cx:txData>
              <cx:f/>
              <cx:v>Q2</cx:v>
            </cx:txData>
          </cx:tx>
          <cx:spPr>
            <a:solidFill>
              <a:srgbClr val="C00000"/>
            </a:solidFill>
            <a:ln cmpd="thickThin">
              <a:solidFill>
                <a:srgbClr val="C00000"/>
              </a:solidFill>
            </a:ln>
          </cx:spPr>
          <cx:dataPt idx="5">
            <cx:spPr>
              <a:ln w="127000">
                <a:solidFill>
                  <a:srgbClr val="C00000"/>
                </a:solidFill>
              </a:ln>
            </cx:spPr>
          </cx:dataPt>
          <cx:dataId val="2"/>
          <cx:layoutPr>
            <cx:statistics quartileMethod="exclusive"/>
          </cx:layoutPr>
        </cx:series>
        <cx:series layoutId="boxWhisker" uniqueId="{00000003-07B5-4D05-BD3A-1A5182ED3C1D}">
          <cx:tx>
            <cx:txData>
              <cx:f/>
              <cx:v>Q3</cx:v>
            </cx:txData>
          </cx:tx>
          <cx:spPr>
            <a:solidFill>
              <a:srgbClr val="7030A0"/>
            </a:solidFill>
            <a:ln w="12700">
              <a:solidFill>
                <a:srgbClr val="7030A0"/>
              </a:solidFill>
            </a:ln>
          </cx:spPr>
          <cx:dataPt idx="5">
            <cx:spPr>
              <a:ln w="127000"/>
            </cx:spPr>
          </cx:dataPt>
          <cx:dataId val="3"/>
          <cx:layoutPr>
            <cx:statistics quartileMethod="exclusive"/>
          </cx:layoutPr>
        </cx:series>
        <cx:series layoutId="boxWhisker" uniqueId="{00000004-07B5-4D05-BD3A-1A5182ED3C1D}">
          <cx:tx>
            <cx:txData>
              <cx:f/>
              <cx:v>Q4</cx:v>
            </cx:txData>
          </cx:tx>
          <cx:spPr>
            <a:solidFill>
              <a:srgbClr val="FFC000"/>
            </a:solidFill>
            <a:ln>
              <a:solidFill>
                <a:srgbClr val="FFC000"/>
              </a:solidFill>
            </a:ln>
          </cx:spPr>
          <cx:dataPt idx="5">
            <cx:spPr>
              <a:ln w="127000">
                <a:solidFill>
                  <a:srgbClr val="FFC000"/>
                </a:solidFill>
              </a:ln>
            </cx:spPr>
          </cx:dataPt>
          <cx:dataId val="4"/>
          <cx:layoutPr>
            <cx:visibility nonoutliers="0"/>
            <cx:statistics quartileMethod="exclusive"/>
          </cx:layoutPr>
        </cx:series>
        <cx:series layoutId="boxWhisker" uniqueId="{00000005-07B5-4D05-BD3A-1A5182ED3C1D}">
          <cx:tx>
            <cx:txData>
              <cx:f/>
              <cx:v>FY</cx:v>
            </cx:txData>
          </cx:tx>
          <cx:spPr>
            <a:solidFill>
              <a:srgbClr val="00B050"/>
            </a:solidFill>
            <a:ln>
              <a:solidFill>
                <a:srgbClr val="00B050"/>
              </a:solidFill>
            </a:ln>
          </cx:spPr>
          <cx:dataPt idx="5">
            <cx:spPr>
              <a:ln w="127000">
                <a:solidFill>
                  <a:srgbClr val="00B050"/>
                </a:solidFill>
              </a:ln>
            </cx:spPr>
          </cx:dataPt>
          <cx:dataId val="5"/>
          <cx:layoutPr>
            <cx:statistics quartileMethod="exclusive"/>
          </cx:layoutPr>
        </cx:series>
      </cx:plotAreaRegion>
      <cx:axis id="0">
        <cx:catScaling gapWidth="0.319999993"/>
        <cx:tickLabels/>
      </cx:axis>
      <cx:axis id="1">
        <cx:valScaling/>
        <cx:majorGridlines/>
        <cx:minorGridlines/>
        <cx:tickLabels/>
      </cx:axis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mpd="sng">
      <a:solidFill>
        <a:schemeClr val="accent1"/>
      </a:solidFill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_xlchart.v1.48</cx:f>
      </cx:numDim>
    </cx:data>
    <cx:data id="1">
      <cx:numDim type="val">
        <cx:f dir="row">_xlchart.v1.49</cx:f>
      </cx:numDim>
    </cx:data>
    <cx:data id="2">
      <cx:numDim type="val">
        <cx:f dir="row">_xlchart.v1.50</cx:f>
      </cx:numDim>
    </cx:data>
    <cx:data id="3">
      <cx:numDim type="val">
        <cx:f dir="row">_xlchart.v1.51</cx:f>
      </cx:numDim>
    </cx:data>
    <cx:data id="4">
      <cx:numDim type="val">
        <cx:f dir="row">_xlchart.v1.52</cx:f>
      </cx:numDim>
    </cx:data>
    <cx:data id="5">
      <cx:numDim type="val">
        <cx:f dir="row">_xlchart.v1.53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Gorgeous Gardenia </a:t>
            </a:r>
            <a:r>
              <a:rPr lang="en-US">
                <a:effectLst/>
              </a:rPr>
              <a:t>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07B5-4D05-BD3A-1A5182ED3C1D}">
          <cx:tx>
            <cx:txData>
              <cx:f/>
              <cx:v>SELLIN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7B5-4D05-BD3A-1A5182ED3C1D}">
          <cx:tx>
            <cx:txData>
              <cx:f/>
              <cx:v>SELLOUT</cx:v>
            </cx:txData>
          </cx:tx>
          <cx:spPr>
            <a:solidFill>
              <a:srgbClr val="0070C0"/>
            </a:solidFill>
            <a:ln>
              <a:solidFill>
                <a:srgbClr val="0070C0"/>
              </a:solidFill>
            </a:ln>
          </cx:spPr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0000002-07B5-4D05-BD3A-1A5182ED3C1D}">
          <cx:tx>
            <cx:txData>
              <cx:f/>
              <cx:v>Q2</cx:v>
            </cx:txData>
          </cx:tx>
          <cx:spPr>
            <a:solidFill>
              <a:srgbClr val="C00000"/>
            </a:solidFill>
            <a:ln cmpd="thickThin">
              <a:solidFill>
                <a:srgbClr val="C00000"/>
              </a:solidFill>
            </a:ln>
          </cx:spPr>
          <cx:dataPt idx="5">
            <cx:spPr>
              <a:ln w="127000">
                <a:solidFill>
                  <a:srgbClr val="C00000"/>
                </a:solidFill>
              </a:ln>
            </cx:spPr>
          </cx:dataPt>
          <cx:dataId val="2"/>
          <cx:layoutPr>
            <cx:statistics quartileMethod="exclusive"/>
          </cx:layoutPr>
        </cx:series>
        <cx:series layoutId="boxWhisker" uniqueId="{00000003-07B5-4D05-BD3A-1A5182ED3C1D}">
          <cx:tx>
            <cx:txData>
              <cx:f/>
              <cx:v>Q3</cx:v>
            </cx:txData>
          </cx:tx>
          <cx:spPr>
            <a:solidFill>
              <a:srgbClr val="7030A0"/>
            </a:solidFill>
            <a:ln w="12700">
              <a:solidFill>
                <a:srgbClr val="7030A0"/>
              </a:solidFill>
            </a:ln>
          </cx:spPr>
          <cx:dataPt idx="5">
            <cx:spPr>
              <a:ln w="127000"/>
            </cx:spPr>
          </cx:dataPt>
          <cx:dataId val="3"/>
          <cx:layoutPr>
            <cx:statistics quartileMethod="exclusive"/>
          </cx:layoutPr>
        </cx:series>
        <cx:series layoutId="boxWhisker" uniqueId="{00000004-07B5-4D05-BD3A-1A5182ED3C1D}">
          <cx:tx>
            <cx:txData>
              <cx:f/>
              <cx:v>Q4</cx:v>
            </cx:txData>
          </cx:tx>
          <cx:spPr>
            <a:solidFill>
              <a:srgbClr val="FFC000"/>
            </a:solidFill>
            <a:ln>
              <a:solidFill>
                <a:srgbClr val="FFC000"/>
              </a:solidFill>
            </a:ln>
          </cx:spPr>
          <cx:dataPt idx="5">
            <cx:spPr>
              <a:ln w="127000">
                <a:solidFill>
                  <a:srgbClr val="FFC000"/>
                </a:solidFill>
              </a:ln>
            </cx:spPr>
          </cx:dataPt>
          <cx:dataId val="4"/>
          <cx:layoutPr>
            <cx:visibility nonoutliers="0"/>
            <cx:statistics quartileMethod="exclusive"/>
          </cx:layoutPr>
        </cx:series>
        <cx:series layoutId="boxWhisker" uniqueId="{00000005-07B5-4D05-BD3A-1A5182ED3C1D}">
          <cx:tx>
            <cx:txData>
              <cx:f/>
              <cx:v>FY</cx:v>
            </cx:txData>
          </cx:tx>
          <cx:spPr>
            <a:solidFill>
              <a:srgbClr val="00B050"/>
            </a:solidFill>
            <a:ln>
              <a:solidFill>
                <a:srgbClr val="00B050"/>
              </a:solidFill>
            </a:ln>
          </cx:spPr>
          <cx:dataPt idx="5">
            <cx:spPr>
              <a:ln w="127000">
                <a:solidFill>
                  <a:srgbClr val="00B050"/>
                </a:solidFill>
              </a:ln>
            </cx:spPr>
          </cx:dataPt>
          <cx:dataId val="5"/>
          <cx:layoutPr>
            <cx:statistics quartileMethod="exclusive"/>
          </cx:layoutPr>
        </cx:series>
      </cx:plotAreaRegion>
      <cx:axis id="0">
        <cx:catScaling gapWidth="0.319999993"/>
        <cx:tickLabels/>
      </cx:axis>
      <cx:axis id="1">
        <cx:valScaling/>
        <cx:majorGridlines/>
        <cx:minorGridlines/>
        <cx:tickLabels/>
      </cx:axis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mpd="sng">
      <a:solidFill>
        <a:schemeClr val="accent1"/>
      </a:solidFill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_xlchart.v1.36</cx:f>
      </cx:numDim>
    </cx:data>
    <cx:data id="1">
      <cx:numDim type="val">
        <cx:f dir="row">_xlchart.v1.37</cx:f>
      </cx:numDim>
    </cx:data>
    <cx:data id="2">
      <cx:numDim type="val">
        <cx:f dir="row">_xlchart.v1.38</cx:f>
      </cx:numDim>
    </cx:data>
    <cx:data id="3">
      <cx:numDim type="val">
        <cx:f dir="row">_xlchart.v1.39</cx:f>
      </cx:numDim>
    </cx:data>
    <cx:data id="4">
      <cx:numDim type="val">
        <cx:f dir="row">_xlchart.v1.40</cx:f>
      </cx:numDim>
    </cx:data>
    <cx:data id="5">
      <cx:numDim type="val">
        <cx:f dir="row">_xlchart.v1.41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Flora Gorgeous Jasmine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07B5-4D05-BD3A-1A5182ED3C1D}">
          <cx:tx>
            <cx:txData>
              <cx:f/>
              <cx:v>SELLIN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7B5-4D05-BD3A-1A5182ED3C1D}">
          <cx:tx>
            <cx:txData>
              <cx:f/>
              <cx:v>SELLOUT</cx:v>
            </cx:txData>
          </cx:tx>
          <cx:spPr>
            <a:solidFill>
              <a:srgbClr val="0070C0"/>
            </a:solidFill>
            <a:ln>
              <a:solidFill>
                <a:srgbClr val="0070C0"/>
              </a:solidFill>
            </a:ln>
          </cx:spPr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0000002-07B5-4D05-BD3A-1A5182ED3C1D}">
          <cx:tx>
            <cx:txData>
              <cx:f/>
              <cx:v>Q2</cx:v>
            </cx:txData>
          </cx:tx>
          <cx:spPr>
            <a:solidFill>
              <a:srgbClr val="C00000"/>
            </a:solidFill>
            <a:ln cmpd="thickThin">
              <a:solidFill>
                <a:srgbClr val="C00000"/>
              </a:solidFill>
            </a:ln>
          </cx:spPr>
          <cx:dataPt idx="5">
            <cx:spPr>
              <a:ln w="127000">
                <a:solidFill>
                  <a:srgbClr val="C00000"/>
                </a:solidFill>
              </a:ln>
            </cx:spPr>
          </cx:dataPt>
          <cx:dataId val="2"/>
          <cx:layoutPr>
            <cx:statistics quartileMethod="exclusive"/>
          </cx:layoutPr>
        </cx:series>
        <cx:series layoutId="boxWhisker" uniqueId="{00000003-07B5-4D05-BD3A-1A5182ED3C1D}">
          <cx:tx>
            <cx:txData>
              <cx:f/>
              <cx:v>Q3</cx:v>
            </cx:txData>
          </cx:tx>
          <cx:spPr>
            <a:solidFill>
              <a:srgbClr val="7030A0"/>
            </a:solidFill>
            <a:ln w="12700">
              <a:solidFill>
                <a:srgbClr val="7030A0"/>
              </a:solidFill>
            </a:ln>
          </cx:spPr>
          <cx:dataPt idx="5">
            <cx:spPr>
              <a:ln w="127000"/>
            </cx:spPr>
          </cx:dataPt>
          <cx:dataId val="3"/>
          <cx:layoutPr>
            <cx:statistics quartileMethod="exclusive"/>
          </cx:layoutPr>
        </cx:series>
        <cx:series layoutId="boxWhisker" uniqueId="{00000004-07B5-4D05-BD3A-1A5182ED3C1D}">
          <cx:tx>
            <cx:txData>
              <cx:f/>
              <cx:v>Q4</cx:v>
            </cx:txData>
          </cx:tx>
          <cx:spPr>
            <a:solidFill>
              <a:srgbClr val="FFC000"/>
            </a:solidFill>
            <a:ln>
              <a:solidFill>
                <a:srgbClr val="FFC000"/>
              </a:solidFill>
            </a:ln>
          </cx:spPr>
          <cx:dataPt idx="5">
            <cx:spPr>
              <a:ln w="127000">
                <a:solidFill>
                  <a:srgbClr val="FFC000"/>
                </a:solidFill>
              </a:ln>
            </cx:spPr>
          </cx:dataPt>
          <cx:dataId val="4"/>
          <cx:layoutPr>
            <cx:visibility nonoutliers="0"/>
            <cx:statistics quartileMethod="exclusive"/>
          </cx:layoutPr>
        </cx:series>
        <cx:series layoutId="boxWhisker" uniqueId="{00000005-07B5-4D05-BD3A-1A5182ED3C1D}">
          <cx:tx>
            <cx:txData>
              <cx:f/>
              <cx:v>FY</cx:v>
            </cx:txData>
          </cx:tx>
          <cx:spPr>
            <a:solidFill>
              <a:srgbClr val="00B050"/>
            </a:solidFill>
            <a:ln>
              <a:solidFill>
                <a:srgbClr val="00B050"/>
              </a:solidFill>
            </a:ln>
          </cx:spPr>
          <cx:dataPt idx="5">
            <cx:spPr>
              <a:ln w="127000">
                <a:solidFill>
                  <a:srgbClr val="00B050"/>
                </a:solidFill>
              </a:ln>
            </cx:spPr>
          </cx:dataPt>
          <cx:dataId val="5"/>
          <cx:layoutPr>
            <cx:statistics quartileMethod="exclusive"/>
          </cx:layoutPr>
        </cx:series>
      </cx:plotAreaRegion>
      <cx:axis id="0">
        <cx:catScaling gapWidth="0.319999993"/>
        <cx:tickLabels/>
      </cx:axis>
      <cx:axis id="1">
        <cx:valScaling/>
        <cx:majorGridlines/>
        <cx:minorGridlines/>
        <cx:tickLabels/>
      </cx:axis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mpd="sng">
      <a:solidFill>
        <a:schemeClr val="accent1"/>
      </a:solidFill>
    </a:ln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_xlchart.v1.42</cx:f>
      </cx:numDim>
    </cx:data>
    <cx:data id="1">
      <cx:numDim type="val">
        <cx:f dir="row">_xlchart.v1.43</cx:f>
      </cx:numDim>
    </cx:data>
    <cx:data id="2">
      <cx:numDim type="val">
        <cx:f dir="row">_xlchart.v1.44</cx:f>
      </cx:numDim>
    </cx:data>
    <cx:data id="3">
      <cx:numDim type="val">
        <cx:f dir="row">_xlchart.v1.45</cx:f>
      </cx:numDim>
    </cx:data>
    <cx:data id="4">
      <cx:numDim type="val">
        <cx:f dir="row">_xlchart.v1.46</cx:f>
      </cx:numDim>
    </cx:data>
    <cx:data id="5">
      <cx:numDim type="val">
        <cx:f dir="row">_xlchart.v1.47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Gucci Flora Gorgeous Magnolia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07B5-4D05-BD3A-1A5182ED3C1D}">
          <cx:tx>
            <cx:txData>
              <cx:f/>
              <cx:v>SELLIN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7B5-4D05-BD3A-1A5182ED3C1D}">
          <cx:tx>
            <cx:txData>
              <cx:f/>
              <cx:v>SELLOUT</cx:v>
            </cx:txData>
          </cx:tx>
          <cx:spPr>
            <a:solidFill>
              <a:srgbClr val="0070C0"/>
            </a:solidFill>
            <a:ln>
              <a:solidFill>
                <a:srgbClr val="0070C0"/>
              </a:solidFill>
            </a:ln>
          </cx:spPr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0000002-07B5-4D05-BD3A-1A5182ED3C1D}">
          <cx:tx>
            <cx:txData>
              <cx:f/>
              <cx:v>Q2</cx:v>
            </cx:txData>
          </cx:tx>
          <cx:spPr>
            <a:solidFill>
              <a:srgbClr val="C00000"/>
            </a:solidFill>
            <a:ln cmpd="thickThin">
              <a:solidFill>
                <a:srgbClr val="C00000"/>
              </a:solidFill>
            </a:ln>
          </cx:spPr>
          <cx:dataPt idx="5">
            <cx:spPr>
              <a:ln w="127000">
                <a:solidFill>
                  <a:srgbClr val="C00000"/>
                </a:solidFill>
              </a:ln>
            </cx:spPr>
          </cx:dataPt>
          <cx:dataId val="2"/>
          <cx:layoutPr>
            <cx:statistics quartileMethod="exclusive"/>
          </cx:layoutPr>
        </cx:series>
        <cx:series layoutId="boxWhisker" uniqueId="{00000003-07B5-4D05-BD3A-1A5182ED3C1D}">
          <cx:tx>
            <cx:txData>
              <cx:f/>
              <cx:v>Q3</cx:v>
            </cx:txData>
          </cx:tx>
          <cx:spPr>
            <a:solidFill>
              <a:srgbClr val="7030A0"/>
            </a:solidFill>
            <a:ln w="12700">
              <a:solidFill>
                <a:srgbClr val="7030A0"/>
              </a:solidFill>
            </a:ln>
          </cx:spPr>
          <cx:dataPt idx="5">
            <cx:spPr>
              <a:ln w="127000"/>
            </cx:spPr>
          </cx:dataPt>
          <cx:dataId val="3"/>
          <cx:layoutPr>
            <cx:statistics quartileMethod="exclusive"/>
          </cx:layoutPr>
        </cx:series>
        <cx:series layoutId="boxWhisker" uniqueId="{00000004-07B5-4D05-BD3A-1A5182ED3C1D}">
          <cx:tx>
            <cx:txData>
              <cx:f/>
              <cx:v>Q4</cx:v>
            </cx:txData>
          </cx:tx>
          <cx:spPr>
            <a:solidFill>
              <a:srgbClr val="FFC000"/>
            </a:solidFill>
            <a:ln>
              <a:solidFill>
                <a:srgbClr val="FFC000"/>
              </a:solidFill>
            </a:ln>
          </cx:spPr>
          <cx:dataPt idx="5">
            <cx:spPr>
              <a:ln w="127000">
                <a:solidFill>
                  <a:srgbClr val="FFC000"/>
                </a:solidFill>
              </a:ln>
            </cx:spPr>
          </cx:dataPt>
          <cx:dataId val="4"/>
          <cx:layoutPr>
            <cx:visibility nonoutliers="0"/>
            <cx:statistics quartileMethod="exclusive"/>
          </cx:layoutPr>
        </cx:series>
        <cx:series layoutId="boxWhisker" uniqueId="{00000005-07B5-4D05-BD3A-1A5182ED3C1D}">
          <cx:tx>
            <cx:txData>
              <cx:f/>
              <cx:v>FY</cx:v>
            </cx:txData>
          </cx:tx>
          <cx:spPr>
            <a:solidFill>
              <a:srgbClr val="00B050"/>
            </a:solidFill>
            <a:ln>
              <a:solidFill>
                <a:srgbClr val="00B050"/>
              </a:solidFill>
            </a:ln>
          </cx:spPr>
          <cx:dataPt idx="5">
            <cx:spPr>
              <a:ln w="127000">
                <a:solidFill>
                  <a:srgbClr val="00B050"/>
                </a:solidFill>
              </a:ln>
            </cx:spPr>
          </cx:dataPt>
          <cx:dataId val="5"/>
          <cx:layoutPr>
            <cx:statistics quartileMethod="exclusive"/>
          </cx:layoutPr>
        </cx:series>
      </cx:plotAreaRegion>
      <cx:axis id="0">
        <cx:catScaling gapWidth="0.319999993"/>
        <cx:tickLabels/>
      </cx:axis>
      <cx:axis id="1">
        <cx:valScaling/>
        <cx:majorGridlines/>
        <cx:minorGridlines/>
        <cx:tickLabels/>
      </cx:axis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mpd="sng">
      <a:solidFill>
        <a:schemeClr val="accent1"/>
      </a:solidFill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_xlchart.v1.30</cx:f>
      </cx:numDim>
    </cx:data>
    <cx:data id="1">
      <cx:numDim type="val">
        <cx:f dir="row">_xlchart.v1.31</cx:f>
      </cx:numDim>
    </cx:data>
    <cx:data id="2">
      <cx:numDim type="val">
        <cx:f dir="row">_xlchart.v1.32</cx:f>
      </cx:numDim>
    </cx:data>
    <cx:data id="3">
      <cx:numDim type="val">
        <cx:f dir="row">_xlchart.v1.33</cx:f>
      </cx:numDim>
    </cx:data>
    <cx:data id="4">
      <cx:numDim type="val">
        <cx:f dir="row">_xlchart.v1.34</cx:f>
      </cx:numDim>
    </cx:data>
    <cx:data id="5">
      <cx:numDim type="val">
        <cx:f dir="row">_xlchart.v1.35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Gucci Flora Gorgeous Orchid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07B5-4D05-BD3A-1A5182ED3C1D}">
          <cx:tx>
            <cx:txData>
              <cx:f/>
              <cx:v>SELLIN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7B5-4D05-BD3A-1A5182ED3C1D}">
          <cx:tx>
            <cx:txData>
              <cx:f/>
              <cx:v>SELLOUT</cx:v>
            </cx:txData>
          </cx:tx>
          <cx:spPr>
            <a:solidFill>
              <a:srgbClr val="0070C0"/>
            </a:solidFill>
            <a:ln>
              <a:solidFill>
                <a:srgbClr val="0070C0"/>
              </a:solidFill>
            </a:ln>
          </cx:spPr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0000002-07B5-4D05-BD3A-1A5182ED3C1D}">
          <cx:tx>
            <cx:txData>
              <cx:f/>
              <cx:v>Q2</cx:v>
            </cx:txData>
          </cx:tx>
          <cx:spPr>
            <a:solidFill>
              <a:srgbClr val="C00000"/>
            </a:solidFill>
            <a:ln cmpd="thickThin">
              <a:solidFill>
                <a:srgbClr val="C00000"/>
              </a:solidFill>
            </a:ln>
          </cx:spPr>
          <cx:dataPt idx="5">
            <cx:spPr>
              <a:ln w="127000">
                <a:solidFill>
                  <a:srgbClr val="C00000"/>
                </a:solidFill>
              </a:ln>
            </cx:spPr>
          </cx:dataPt>
          <cx:dataId val="2"/>
          <cx:layoutPr>
            <cx:statistics quartileMethod="exclusive"/>
          </cx:layoutPr>
        </cx:series>
        <cx:series layoutId="boxWhisker" uniqueId="{00000003-07B5-4D05-BD3A-1A5182ED3C1D}">
          <cx:tx>
            <cx:txData>
              <cx:f/>
              <cx:v>Q3</cx:v>
            </cx:txData>
          </cx:tx>
          <cx:spPr>
            <a:solidFill>
              <a:srgbClr val="7030A0"/>
            </a:solidFill>
            <a:ln w="12700">
              <a:solidFill>
                <a:srgbClr val="7030A0"/>
              </a:solidFill>
            </a:ln>
          </cx:spPr>
          <cx:dataPt idx="5">
            <cx:spPr>
              <a:ln w="127000"/>
            </cx:spPr>
          </cx:dataPt>
          <cx:dataId val="3"/>
          <cx:layoutPr>
            <cx:statistics quartileMethod="exclusive"/>
          </cx:layoutPr>
        </cx:series>
        <cx:series layoutId="boxWhisker" uniqueId="{00000004-07B5-4D05-BD3A-1A5182ED3C1D}">
          <cx:tx>
            <cx:txData>
              <cx:f/>
              <cx:v>Q4</cx:v>
            </cx:txData>
          </cx:tx>
          <cx:spPr>
            <a:solidFill>
              <a:srgbClr val="FFC000"/>
            </a:solidFill>
            <a:ln>
              <a:solidFill>
                <a:srgbClr val="FFC000"/>
              </a:solidFill>
            </a:ln>
          </cx:spPr>
          <cx:dataPt idx="5">
            <cx:spPr>
              <a:ln w="127000">
                <a:solidFill>
                  <a:srgbClr val="FFC000"/>
                </a:solidFill>
              </a:ln>
            </cx:spPr>
          </cx:dataPt>
          <cx:dataId val="4"/>
          <cx:layoutPr>
            <cx:visibility nonoutliers="0"/>
            <cx:statistics quartileMethod="exclusive"/>
          </cx:layoutPr>
        </cx:series>
        <cx:series layoutId="boxWhisker" uniqueId="{00000005-07B5-4D05-BD3A-1A5182ED3C1D}">
          <cx:tx>
            <cx:txData>
              <cx:f/>
              <cx:v>FY</cx:v>
            </cx:txData>
          </cx:tx>
          <cx:spPr>
            <a:solidFill>
              <a:srgbClr val="00B050"/>
            </a:solidFill>
            <a:ln>
              <a:solidFill>
                <a:srgbClr val="00B050"/>
              </a:solidFill>
            </a:ln>
          </cx:spPr>
          <cx:dataPt idx="5">
            <cx:spPr>
              <a:ln w="127000">
                <a:solidFill>
                  <a:srgbClr val="00B050"/>
                </a:solidFill>
              </a:ln>
            </cx:spPr>
          </cx:dataPt>
          <cx:dataId val="5"/>
          <cx:layoutPr>
            <cx:statistics quartileMethod="exclusive"/>
          </cx:layoutPr>
        </cx:series>
      </cx:plotAreaRegion>
      <cx:axis id="0">
        <cx:catScaling gapWidth="0.319999993"/>
        <cx:tickLabels/>
      </cx:axis>
      <cx:axis id="1">
        <cx:valScaling/>
        <cx:majorGridlines/>
        <cx:minorGridlines/>
        <cx:tickLabels/>
      </cx:axis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mpd="sng">
      <a:solidFill>
        <a:schemeClr val="accent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4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196849</xdr:colOff>
      <xdr:row>7</xdr:row>
      <xdr:rowOff>34925</xdr:rowOff>
    </xdr:from>
    <xdr:to>
      <xdr:col>2</xdr:col>
      <xdr:colOff>104774</xdr:colOff>
      <xdr:row>36</xdr:row>
      <xdr:rowOff>41274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2">
              <a:extLst>
                <a:ext uri="{FF2B5EF4-FFF2-40B4-BE49-F238E27FC236}">
                  <a16:creationId xmlns:a16="http://schemas.microsoft.com/office/drawing/2014/main" id="{9232E2F3-C76D-4581-B736-4CB5E498EF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4" y="1301750"/>
              <a:ext cx="3698875" cy="5254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200025</xdr:colOff>
      <xdr:row>7</xdr:row>
      <xdr:rowOff>38100</xdr:rowOff>
    </xdr:from>
    <xdr:to>
      <xdr:col>8</xdr:col>
      <xdr:colOff>234950</xdr:colOff>
      <xdr:row>36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5">
              <a:extLst>
                <a:ext uri="{FF2B5EF4-FFF2-40B4-BE49-F238E27FC236}">
                  <a16:creationId xmlns:a16="http://schemas.microsoft.com/office/drawing/2014/main" id="{722FB9A4-8031-4D75-B57F-E3DDD965EB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7800" y="1304925"/>
              <a:ext cx="3698875" cy="5260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276225</xdr:colOff>
      <xdr:row>7</xdr:row>
      <xdr:rowOff>38100</xdr:rowOff>
    </xdr:from>
    <xdr:to>
      <xdr:col>14</xdr:col>
      <xdr:colOff>311150</xdr:colOff>
      <xdr:row>36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6">
              <a:extLst>
                <a:ext uri="{FF2B5EF4-FFF2-40B4-BE49-F238E27FC236}">
                  <a16:creationId xmlns:a16="http://schemas.microsoft.com/office/drawing/2014/main" id="{ED95220F-C310-48FA-9C59-F9B343AFED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1600" y="1304925"/>
              <a:ext cx="3698875" cy="5260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406401</xdr:colOff>
      <xdr:row>7</xdr:row>
      <xdr:rowOff>44450</xdr:rowOff>
    </xdr:from>
    <xdr:to>
      <xdr:col>20</xdr:col>
      <xdr:colOff>438151</xdr:colOff>
      <xdr:row>36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7">
              <a:extLst>
                <a:ext uri="{FF2B5EF4-FFF2-40B4-BE49-F238E27FC236}">
                  <a16:creationId xmlns:a16="http://schemas.microsoft.com/office/drawing/2014/main" id="{BA234DCD-5127-48AF-8C6D-1A05BCECA5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5726" y="1314450"/>
              <a:ext cx="3686175" cy="5251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1801743</xdr:colOff>
      <xdr:row>22</xdr:row>
      <xdr:rowOff>80893</xdr:rowOff>
    </xdr:from>
    <xdr:to>
      <xdr:col>0</xdr:col>
      <xdr:colOff>1801743</xdr:colOff>
      <xdr:row>24</xdr:row>
      <xdr:rowOff>99392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793092D-DD3A-4394-97B6-041BC80ED814}"/>
            </a:ext>
          </a:extLst>
        </xdr:cNvPr>
        <xdr:cNvCxnSpPr/>
      </xdr:nvCxnSpPr>
      <xdr:spPr>
        <a:xfrm flipV="1">
          <a:off x="1801743" y="4089676"/>
          <a:ext cx="0" cy="382933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2111375</xdr:colOff>
      <xdr:row>11</xdr:row>
      <xdr:rowOff>31197</xdr:rowOff>
    </xdr:from>
    <xdr:to>
      <xdr:col>0</xdr:col>
      <xdr:colOff>2111375</xdr:colOff>
      <xdr:row>13</xdr:row>
      <xdr:rowOff>46520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A24DFD0B-60C8-44A9-B58A-71DF536A231A}"/>
            </a:ext>
          </a:extLst>
        </xdr:cNvPr>
        <xdr:cNvCxnSpPr/>
      </xdr:nvCxnSpPr>
      <xdr:spPr>
        <a:xfrm flipV="1">
          <a:off x="2111375" y="2035588"/>
          <a:ext cx="0" cy="379758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194365</xdr:colOff>
      <xdr:row>7</xdr:row>
      <xdr:rowOff>29403</xdr:rowOff>
    </xdr:from>
    <xdr:to>
      <xdr:col>2</xdr:col>
      <xdr:colOff>194365</xdr:colOff>
      <xdr:row>9</xdr:row>
      <xdr:rowOff>46520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DD61647-DCBB-47FD-8C48-8FB0FF5417C6}"/>
            </a:ext>
          </a:extLst>
        </xdr:cNvPr>
        <xdr:cNvCxnSpPr/>
      </xdr:nvCxnSpPr>
      <xdr:spPr>
        <a:xfrm>
          <a:off x="3987800" y="1304925"/>
          <a:ext cx="0" cy="381552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590548</xdr:colOff>
      <xdr:row>23</xdr:row>
      <xdr:rowOff>4555</xdr:rowOff>
    </xdr:from>
    <xdr:to>
      <xdr:col>4</xdr:col>
      <xdr:colOff>590548</xdr:colOff>
      <xdr:row>25</xdr:row>
      <xdr:rowOff>21672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3456B76-AEA6-42B5-932E-05054A4E51EB}"/>
            </a:ext>
          </a:extLst>
        </xdr:cNvPr>
        <xdr:cNvCxnSpPr/>
      </xdr:nvCxnSpPr>
      <xdr:spPr>
        <a:xfrm>
          <a:off x="5609809" y="4195555"/>
          <a:ext cx="0" cy="381552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60463</xdr:colOff>
      <xdr:row>27</xdr:row>
      <xdr:rowOff>97458</xdr:rowOff>
    </xdr:from>
    <xdr:to>
      <xdr:col>11</xdr:col>
      <xdr:colOff>60463</xdr:colOff>
      <xdr:row>29</xdr:row>
      <xdr:rowOff>119132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D8D1FFA-4F12-4422-8C1A-9748F166BFAC}"/>
            </a:ext>
          </a:extLst>
        </xdr:cNvPr>
        <xdr:cNvCxnSpPr/>
      </xdr:nvCxnSpPr>
      <xdr:spPr>
        <a:xfrm flipV="1">
          <a:off x="9370115" y="5017328"/>
          <a:ext cx="0" cy="386108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275809</xdr:colOff>
      <xdr:row>22</xdr:row>
      <xdr:rowOff>82273</xdr:rowOff>
    </xdr:from>
    <xdr:to>
      <xdr:col>5</xdr:col>
      <xdr:colOff>275809</xdr:colOff>
      <xdr:row>24</xdr:row>
      <xdr:rowOff>93041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CF240427-BF3F-43D3-8F36-3D78E3D1A3B6}"/>
            </a:ext>
          </a:extLst>
        </xdr:cNvPr>
        <xdr:cNvCxnSpPr/>
      </xdr:nvCxnSpPr>
      <xdr:spPr>
        <a:xfrm>
          <a:off x="5907983" y="4091056"/>
          <a:ext cx="0" cy="375202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361812</xdr:colOff>
      <xdr:row>17</xdr:row>
      <xdr:rowOff>22914</xdr:rowOff>
    </xdr:from>
    <xdr:to>
      <xdr:col>11</xdr:col>
      <xdr:colOff>361812</xdr:colOff>
      <xdr:row>19</xdr:row>
      <xdr:rowOff>50938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8AEA4C2-EC82-4613-B985-E96DDDE8AC4B}"/>
            </a:ext>
          </a:extLst>
        </xdr:cNvPr>
        <xdr:cNvCxnSpPr/>
      </xdr:nvCxnSpPr>
      <xdr:spPr>
        <a:xfrm flipV="1">
          <a:off x="9671464" y="3120610"/>
          <a:ext cx="0" cy="392458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187877</xdr:colOff>
      <xdr:row>32</xdr:row>
      <xdr:rowOff>166893</xdr:rowOff>
    </xdr:from>
    <xdr:to>
      <xdr:col>17</xdr:col>
      <xdr:colOff>187877</xdr:colOff>
      <xdr:row>35</xdr:row>
      <xdr:rowOff>6349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341417D-15AA-42CE-9618-8FCD917E6F31}"/>
            </a:ext>
          </a:extLst>
        </xdr:cNvPr>
        <xdr:cNvCxnSpPr/>
      </xdr:nvCxnSpPr>
      <xdr:spPr>
        <a:xfrm flipV="1">
          <a:off x="13175007" y="5997850"/>
          <a:ext cx="0" cy="386108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486050</xdr:colOff>
      <xdr:row>17</xdr:row>
      <xdr:rowOff>52317</xdr:rowOff>
    </xdr:from>
    <xdr:to>
      <xdr:col>17</xdr:col>
      <xdr:colOff>486050</xdr:colOff>
      <xdr:row>19</xdr:row>
      <xdr:rowOff>50385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D164422-2B27-4DF8-B1E1-5A654169266D}"/>
            </a:ext>
          </a:extLst>
        </xdr:cNvPr>
        <xdr:cNvCxnSpPr/>
      </xdr:nvCxnSpPr>
      <xdr:spPr>
        <a:xfrm>
          <a:off x="13473180" y="3150013"/>
          <a:ext cx="0" cy="362502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196849</xdr:colOff>
      <xdr:row>7</xdr:row>
      <xdr:rowOff>34925</xdr:rowOff>
    </xdr:from>
    <xdr:to>
      <xdr:col>2</xdr:col>
      <xdr:colOff>104774</xdr:colOff>
      <xdr:row>36</xdr:row>
      <xdr:rowOff>41274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2">
              <a:extLst>
                <a:ext uri="{FF2B5EF4-FFF2-40B4-BE49-F238E27FC236}">
                  <a16:creationId xmlns:a16="http://schemas.microsoft.com/office/drawing/2014/main" id="{F1BE8691-8E53-4135-8B8D-B7D3BA0A40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4" y="1301750"/>
              <a:ext cx="3698875" cy="5254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200025</xdr:colOff>
      <xdr:row>7</xdr:row>
      <xdr:rowOff>38100</xdr:rowOff>
    </xdr:from>
    <xdr:to>
      <xdr:col>8</xdr:col>
      <xdr:colOff>234950</xdr:colOff>
      <xdr:row>36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5">
              <a:extLst>
                <a:ext uri="{FF2B5EF4-FFF2-40B4-BE49-F238E27FC236}">
                  <a16:creationId xmlns:a16="http://schemas.microsoft.com/office/drawing/2014/main" id="{C6CAC41D-28AE-412A-A115-953742071A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7800" y="1304925"/>
              <a:ext cx="3698875" cy="5260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276225</xdr:colOff>
      <xdr:row>7</xdr:row>
      <xdr:rowOff>38100</xdr:rowOff>
    </xdr:from>
    <xdr:to>
      <xdr:col>14</xdr:col>
      <xdr:colOff>311150</xdr:colOff>
      <xdr:row>36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6">
              <a:extLst>
                <a:ext uri="{FF2B5EF4-FFF2-40B4-BE49-F238E27FC236}">
                  <a16:creationId xmlns:a16="http://schemas.microsoft.com/office/drawing/2014/main" id="{640E2245-BD63-4C73-ADA6-EC53058A4A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1600" y="1304925"/>
              <a:ext cx="3698875" cy="5260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406401</xdr:colOff>
      <xdr:row>7</xdr:row>
      <xdr:rowOff>44450</xdr:rowOff>
    </xdr:from>
    <xdr:to>
      <xdr:col>20</xdr:col>
      <xdr:colOff>438151</xdr:colOff>
      <xdr:row>36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7">
              <a:extLst>
                <a:ext uri="{FF2B5EF4-FFF2-40B4-BE49-F238E27FC236}">
                  <a16:creationId xmlns:a16="http://schemas.microsoft.com/office/drawing/2014/main" id="{98A26C40-984A-42EE-BE93-FD20F25376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5726" y="1314450"/>
              <a:ext cx="3686175" cy="5251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1801743</xdr:colOff>
      <xdr:row>22</xdr:row>
      <xdr:rowOff>80893</xdr:rowOff>
    </xdr:from>
    <xdr:to>
      <xdr:col>0</xdr:col>
      <xdr:colOff>1801743</xdr:colOff>
      <xdr:row>24</xdr:row>
      <xdr:rowOff>99392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27CB563-7606-43B0-9ACF-50120664D996}"/>
            </a:ext>
          </a:extLst>
        </xdr:cNvPr>
        <xdr:cNvCxnSpPr/>
      </xdr:nvCxnSpPr>
      <xdr:spPr>
        <a:xfrm flipV="1">
          <a:off x="1798568" y="4065518"/>
          <a:ext cx="0" cy="38044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2111375</xdr:colOff>
      <xdr:row>11</xdr:row>
      <xdr:rowOff>31197</xdr:rowOff>
    </xdr:from>
    <xdr:to>
      <xdr:col>0</xdr:col>
      <xdr:colOff>2111375</xdr:colOff>
      <xdr:row>13</xdr:row>
      <xdr:rowOff>46520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D68D30A-813E-4DEB-8A21-637063CFEEBF}"/>
            </a:ext>
          </a:extLst>
        </xdr:cNvPr>
        <xdr:cNvCxnSpPr/>
      </xdr:nvCxnSpPr>
      <xdr:spPr>
        <a:xfrm flipV="1">
          <a:off x="2111375" y="2018747"/>
          <a:ext cx="0" cy="383623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194365</xdr:colOff>
      <xdr:row>7</xdr:row>
      <xdr:rowOff>29403</xdr:rowOff>
    </xdr:from>
    <xdr:to>
      <xdr:col>2</xdr:col>
      <xdr:colOff>194365</xdr:colOff>
      <xdr:row>9</xdr:row>
      <xdr:rowOff>46520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B6DF8FA-D884-4B39-B302-1EF56F3D998F}"/>
            </a:ext>
          </a:extLst>
        </xdr:cNvPr>
        <xdr:cNvCxnSpPr/>
      </xdr:nvCxnSpPr>
      <xdr:spPr>
        <a:xfrm>
          <a:off x="3988490" y="1293053"/>
          <a:ext cx="0" cy="385417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590548</xdr:colOff>
      <xdr:row>23</xdr:row>
      <xdr:rowOff>4555</xdr:rowOff>
    </xdr:from>
    <xdr:to>
      <xdr:col>4</xdr:col>
      <xdr:colOff>590548</xdr:colOff>
      <xdr:row>25</xdr:row>
      <xdr:rowOff>21672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0FF37C0-EF95-4105-B543-F9DD33FF2D47}"/>
            </a:ext>
          </a:extLst>
        </xdr:cNvPr>
        <xdr:cNvCxnSpPr/>
      </xdr:nvCxnSpPr>
      <xdr:spPr>
        <a:xfrm>
          <a:off x="5600698" y="4170155"/>
          <a:ext cx="0" cy="375892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60463</xdr:colOff>
      <xdr:row>27</xdr:row>
      <xdr:rowOff>97458</xdr:rowOff>
    </xdr:from>
    <xdr:to>
      <xdr:col>11</xdr:col>
      <xdr:colOff>60463</xdr:colOff>
      <xdr:row>29</xdr:row>
      <xdr:rowOff>119132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459FC79-638B-4B21-B1AC-FC267BC5D5D7}"/>
            </a:ext>
          </a:extLst>
        </xdr:cNvPr>
        <xdr:cNvCxnSpPr/>
      </xdr:nvCxnSpPr>
      <xdr:spPr>
        <a:xfrm flipV="1">
          <a:off x="9340988" y="4983783"/>
          <a:ext cx="0" cy="38679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275809</xdr:colOff>
      <xdr:row>22</xdr:row>
      <xdr:rowOff>82273</xdr:rowOff>
    </xdr:from>
    <xdr:to>
      <xdr:col>5</xdr:col>
      <xdr:colOff>275809</xdr:colOff>
      <xdr:row>24</xdr:row>
      <xdr:rowOff>93041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429EF93-DFD1-42A1-960F-BF50846F9A97}"/>
            </a:ext>
          </a:extLst>
        </xdr:cNvPr>
        <xdr:cNvCxnSpPr/>
      </xdr:nvCxnSpPr>
      <xdr:spPr>
        <a:xfrm>
          <a:off x="5898734" y="4066898"/>
          <a:ext cx="0" cy="369543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361812</xdr:colOff>
      <xdr:row>17</xdr:row>
      <xdr:rowOff>22914</xdr:rowOff>
    </xdr:from>
    <xdr:to>
      <xdr:col>11</xdr:col>
      <xdr:colOff>361812</xdr:colOff>
      <xdr:row>19</xdr:row>
      <xdr:rowOff>50938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D7873D2-4CD1-4A62-BCA5-EBAC26CB85BA}"/>
            </a:ext>
          </a:extLst>
        </xdr:cNvPr>
        <xdr:cNvCxnSpPr/>
      </xdr:nvCxnSpPr>
      <xdr:spPr>
        <a:xfrm flipV="1">
          <a:off x="9639162" y="3102664"/>
          <a:ext cx="0" cy="383624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187877</xdr:colOff>
      <xdr:row>32</xdr:row>
      <xdr:rowOff>166893</xdr:rowOff>
    </xdr:from>
    <xdr:to>
      <xdr:col>17</xdr:col>
      <xdr:colOff>187877</xdr:colOff>
      <xdr:row>35</xdr:row>
      <xdr:rowOff>6349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3105C02-9BF5-4CC5-9042-381BF8E1D36C}"/>
            </a:ext>
          </a:extLst>
        </xdr:cNvPr>
        <xdr:cNvCxnSpPr/>
      </xdr:nvCxnSpPr>
      <xdr:spPr>
        <a:xfrm flipV="1">
          <a:off x="13122827" y="5954918"/>
          <a:ext cx="0" cy="388731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486050</xdr:colOff>
      <xdr:row>17</xdr:row>
      <xdr:rowOff>52317</xdr:rowOff>
    </xdr:from>
    <xdr:to>
      <xdr:col>17</xdr:col>
      <xdr:colOff>486050</xdr:colOff>
      <xdr:row>19</xdr:row>
      <xdr:rowOff>50385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70C8A7E-43B1-4FEF-AB9A-413A891D654B}"/>
            </a:ext>
          </a:extLst>
        </xdr:cNvPr>
        <xdr:cNvCxnSpPr/>
      </xdr:nvCxnSpPr>
      <xdr:spPr>
        <a:xfrm>
          <a:off x="13417825" y="3125717"/>
          <a:ext cx="0" cy="360018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586407</xdr:colOff>
      <xdr:row>19</xdr:row>
      <xdr:rowOff>53008</xdr:rowOff>
    </xdr:from>
    <xdr:to>
      <xdr:col>4</xdr:col>
      <xdr:colOff>586407</xdr:colOff>
      <xdr:row>21</xdr:row>
      <xdr:rowOff>57425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4695DDF-713F-4C09-9575-C97DC8587BC6}"/>
            </a:ext>
          </a:extLst>
        </xdr:cNvPr>
        <xdr:cNvCxnSpPr/>
      </xdr:nvCxnSpPr>
      <xdr:spPr>
        <a:xfrm>
          <a:off x="5605668" y="3515138"/>
          <a:ext cx="0" cy="368852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8212-B47E-4F1E-A472-B3BBF7665565}">
  <dimension ref="A1:N15"/>
  <sheetViews>
    <sheetView topLeftCell="A7" zoomScale="115" zoomScaleNormal="115" workbookViewId="0">
      <selection activeCell="G4" sqref="G4"/>
    </sheetView>
  </sheetViews>
  <sheetFormatPr defaultRowHeight="14.5" x14ac:dyDescent="0.35"/>
  <cols>
    <col min="1" max="1" width="42.54296875" bestFit="1" customWidth="1"/>
    <col min="2" max="2" width="11.7265625" bestFit="1" customWidth="1"/>
  </cols>
  <sheetData>
    <row r="1" spans="1:14" x14ac:dyDescent="0.35">
      <c r="A1" s="1" t="s">
        <v>0</v>
      </c>
      <c r="B1" t="s">
        <v>72</v>
      </c>
      <c r="C1" t="s">
        <v>73</v>
      </c>
      <c r="D1" t="s">
        <v>74</v>
      </c>
      <c r="E1" t="s">
        <v>78</v>
      </c>
      <c r="F1" t="s">
        <v>79</v>
      </c>
      <c r="G1" t="s">
        <v>75</v>
      </c>
      <c r="I1" t="s">
        <v>76</v>
      </c>
      <c r="K1" t="s">
        <v>77</v>
      </c>
      <c r="M1" t="s">
        <v>2</v>
      </c>
    </row>
    <row r="2" spans="1:14" x14ac:dyDescent="0.35">
      <c r="A2" s="2" t="s">
        <v>24</v>
      </c>
      <c r="B2" s="18">
        <f>_xlfn.XLOOKUP(A2,'REAS I'!A:A,'REAS I'!B:B,"")</f>
        <v>17432.942390063476</v>
      </c>
      <c r="C2" s="3">
        <f>_xlfn.XLOOKUP(A2,EPOS!D:D,EPOS!AB:AB,"")</f>
        <v>-7.3689973399796757E-2</v>
      </c>
      <c r="D2" s="3">
        <f>_xlfn.XLOOKUP(A2,EPOS!D:D,EPOS!AE:AE,"")</f>
        <v>-0.12019396718081696</v>
      </c>
      <c r="E2" s="3">
        <f>_xlfn.XLOOKUP(A2,'REAS I'!A:A,'REAS I'!BS:BS,"")</f>
        <v>8.2978284443415262E-2</v>
      </c>
      <c r="F2" s="3">
        <f>_xlfn.XLOOKUP(A2,'REAS I'!A:A,'REAS I'!BT:BT,"")</f>
        <v>5.3334870839152781E-2</v>
      </c>
      <c r="G2" s="3">
        <f>_xlfn.XLOOKUP(A2,'REAS I'!A:A,'REAS I'!AJ:AJ,"")</f>
        <v>1.0554192388360528E-2</v>
      </c>
      <c r="H2" s="3">
        <f>G2-0.001</f>
        <v>9.5541923883605273E-3</v>
      </c>
      <c r="I2" s="3">
        <f>_xlfn.XLOOKUP(A2,'REAS I'!A:A,'REAS I'!AR:AR,"")</f>
        <v>-0.2009896462139501</v>
      </c>
      <c r="J2" s="3">
        <f>I2-0.001</f>
        <v>-0.2019896462139501</v>
      </c>
      <c r="K2" s="3">
        <f>_xlfn.XLOOKUP(A2,'REAS I'!A:A,'REAS I'!AZ:AZ,"")</f>
        <v>-0.10708818611747151</v>
      </c>
      <c r="L2" s="3">
        <f>K2-0.001</f>
        <v>-0.10808818611747151</v>
      </c>
      <c r="M2" s="3">
        <f>_xlfn.XLOOKUP(A2,'REAS I'!A:A,'REAS I'!D:D,"")</f>
        <v>-0.18192094198978581</v>
      </c>
      <c r="N2" s="3">
        <f>M2-0.001</f>
        <v>-0.18292094198978581</v>
      </c>
    </row>
    <row r="3" spans="1:14" x14ac:dyDescent="0.35">
      <c r="A3" s="2" t="s">
        <v>28</v>
      </c>
      <c r="B3" s="18">
        <f>_xlfn.XLOOKUP(A3,'REAS I'!A:A,'REAS I'!B:B,"")</f>
        <v>3441.7494330737677</v>
      </c>
      <c r="C3" s="3">
        <f>_xlfn.XLOOKUP(A3,EPOS!D:D,EPOS!AB:AB,"")</f>
        <v>-0.29680740937285244</v>
      </c>
      <c r="D3" s="3">
        <f>_xlfn.XLOOKUP(A3,EPOS!D:D,EPOS!AE:AE,"")</f>
        <v>-0.23028093492489943</v>
      </c>
      <c r="E3" s="3">
        <f>_xlfn.XLOOKUP(A3,'REAS I'!A:A,'REAS I'!BS:BS,"")</f>
        <v>-0.43231377591934927</v>
      </c>
      <c r="F3" s="3">
        <f>_xlfn.XLOOKUP(A3,'REAS I'!A:A,'REAS I'!BT:BT,"")</f>
        <v>3.9795525035672963E-2</v>
      </c>
      <c r="G3" s="3">
        <f>_xlfn.XLOOKUP(A3,'REAS I'!A:A,'REAS I'!AJ:AJ,"")</f>
        <v>-0.58255040504451205</v>
      </c>
      <c r="H3" s="3">
        <f t="shared" ref="H3:J6" si="0">G3-0.001</f>
        <v>-0.58355040504451205</v>
      </c>
      <c r="I3" s="3">
        <f>_xlfn.XLOOKUP(A3,'REAS I'!A:A,'REAS I'!AR:AR,"")</f>
        <v>0.21051371324694679</v>
      </c>
      <c r="J3" s="3">
        <f t="shared" si="0"/>
        <v>0.20951371324694679</v>
      </c>
      <c r="K3" s="3">
        <f>_xlfn.XLOOKUP(A3,'REAS I'!A:A,'REAS I'!AZ:AZ,"")</f>
        <v>0.44391680523618793</v>
      </c>
      <c r="L3" s="3">
        <f t="shared" ref="L3" si="1">K3-0.001</f>
        <v>0.44291680523618793</v>
      </c>
      <c r="M3" s="3">
        <f>_xlfn.XLOOKUP(A3,'REAS I'!A:A,'REAS I'!D:D,"")</f>
        <v>-0.35005836167637194</v>
      </c>
      <c r="N3" s="3">
        <f t="shared" ref="N3" si="2">M3-0.001</f>
        <v>-0.35105836167637194</v>
      </c>
    </row>
    <row r="4" spans="1:14" x14ac:dyDescent="0.35">
      <c r="A4" s="2" t="s">
        <v>23</v>
      </c>
      <c r="B4" s="18">
        <f>_xlfn.XLOOKUP(A4,'REAS I'!A:A,'REAS I'!B:B,"")</f>
        <v>7756.2149702041625</v>
      </c>
      <c r="C4" s="3">
        <f>_xlfn.XLOOKUP(A4,EPOS!D:D,EPOS!AB:AB,"")</f>
        <v>0.10839605324711662</v>
      </c>
      <c r="D4" s="3">
        <f>_xlfn.XLOOKUP(A4,EPOS!D:D,EPOS!AE:AE,"")</f>
        <v>-0.2479754383485557</v>
      </c>
      <c r="E4" s="3">
        <f>_xlfn.XLOOKUP(A4,'REAS I'!A:A,'REAS I'!BS:BS,"")</f>
        <v>0.6843722785476487</v>
      </c>
      <c r="F4" s="3">
        <f>_xlfn.XLOOKUP(A4,'REAS I'!A:A,'REAS I'!BT:BT,"")</f>
        <v>0.13871824746287409</v>
      </c>
      <c r="G4" s="3">
        <f>_xlfn.XLOOKUP(A4,'REAS I'!A:A,'REAS I'!AJ:AJ,"")</f>
        <v>0.29743660268302397</v>
      </c>
      <c r="H4" s="3">
        <f t="shared" si="0"/>
        <v>0.29643660268302396</v>
      </c>
      <c r="I4" s="3">
        <f>_xlfn.XLOOKUP(A4,'REAS I'!A:A,'REAS I'!AR:AR,"")</f>
        <v>0.10386101753755006</v>
      </c>
      <c r="J4" s="3">
        <f t="shared" si="0"/>
        <v>0.10286101753755006</v>
      </c>
      <c r="K4" s="3">
        <f>_xlfn.XLOOKUP(A4,'REAS I'!A:A,'REAS I'!AZ:AZ,"")</f>
        <v>-9.8390271985728139E-2</v>
      </c>
      <c r="L4" s="3">
        <f t="shared" ref="L4" si="3">K4-0.001</f>
        <v>-9.939027198572814E-2</v>
      </c>
      <c r="M4" s="3">
        <f>_xlfn.XLOOKUP(A4,'REAS I'!A:A,'REAS I'!D:D,"")</f>
        <v>0.29553777705189854</v>
      </c>
      <c r="N4" s="3">
        <f t="shared" ref="N4" si="4">M4-0.001</f>
        <v>0.29453777705189854</v>
      </c>
    </row>
    <row r="5" spans="1:14" x14ac:dyDescent="0.35">
      <c r="A5" s="2" t="s">
        <v>26</v>
      </c>
      <c r="B5" s="18">
        <f>_xlfn.XLOOKUP(A5,'REAS I'!A:A,'REAS I'!B:B,"")</f>
        <v>8003.2482209163918</v>
      </c>
      <c r="C5" s="3">
        <f>_xlfn.XLOOKUP(A5,EPOS!D:D,EPOS!AB:AB,"")</f>
        <v>-0.31172858773389012</v>
      </c>
      <c r="D5" s="3">
        <f>_xlfn.XLOOKUP(A5,EPOS!D:D,EPOS!AE:AE,"")</f>
        <v>-0.38380500869043932</v>
      </c>
      <c r="E5" s="3">
        <f>_xlfn.XLOOKUP(A5,'REAS I'!A:A,'REAS I'!BS:BS,"")</f>
        <v>0.36582978847616676</v>
      </c>
      <c r="F5" s="3">
        <f>_xlfn.XLOOKUP(A5,'REAS I'!A:A,'REAS I'!BT:BT,"")</f>
        <v>1.8480469230584617</v>
      </c>
      <c r="G5" s="3">
        <f>_xlfn.XLOOKUP(A5,'REAS I'!A:A,'REAS I'!AJ:AJ,"")</f>
        <v>1.8360699272045977E-2</v>
      </c>
      <c r="H5" s="3">
        <f t="shared" si="0"/>
        <v>1.7360699272045976E-2</v>
      </c>
      <c r="I5" s="3">
        <f>_xlfn.XLOOKUP(A5,'REAS I'!A:A,'REAS I'!AR:AR,"")</f>
        <v>-3.3193824678581341E-2</v>
      </c>
      <c r="J5" s="3">
        <f t="shared" si="0"/>
        <v>-3.4193824678581342E-2</v>
      </c>
      <c r="K5" s="3">
        <f>_xlfn.XLOOKUP(A5,'REAS I'!A:A,'REAS I'!AZ:AZ,"")</f>
        <v>-0.17632375222376306</v>
      </c>
      <c r="L5" s="3">
        <f t="shared" ref="L5" si="5">K5-0.001</f>
        <v>-0.17732375222376306</v>
      </c>
      <c r="M5" s="3">
        <f>_xlfn.XLOOKUP(A5,'REAS I'!A:A,'REAS I'!D:D,"")</f>
        <v>-0.19899908533617572</v>
      </c>
      <c r="N5" s="3">
        <f t="shared" ref="N5" si="6">M5-0.001</f>
        <v>-0.19999908533617572</v>
      </c>
    </row>
    <row r="6" spans="1:14" x14ac:dyDescent="0.35">
      <c r="A6" s="19" t="s">
        <v>27</v>
      </c>
      <c r="B6" s="18">
        <f>_xlfn.XLOOKUP(A6,'REAS I'!A:A,'REAS I'!B:B,"")</f>
        <v>5098.0508817043401</v>
      </c>
      <c r="C6" s="3">
        <f>_xlfn.XLOOKUP(A6,EPOS!D:D,EPOS!AB:AB,"")</f>
        <v>0.11785806459551204</v>
      </c>
      <c r="D6" s="3">
        <f>_xlfn.XLOOKUP(A6,EPOS!D:D,EPOS!AE:AE,"")</f>
        <v>1.7906240254929975</v>
      </c>
      <c r="E6" s="3">
        <f>_xlfn.XLOOKUP(A6,'REAS I'!A:A,'REAS I'!BS:BS,"")</f>
        <v>0</v>
      </c>
      <c r="F6" s="3">
        <f>_xlfn.XLOOKUP(A6,'REAS I'!A:A,'REAS I'!BT:BT,"")</f>
        <v>0</v>
      </c>
      <c r="G6" s="3">
        <f>_xlfn.XLOOKUP(A6,'REAS I'!A:A,'REAS I'!AJ:AJ,"")</f>
        <v>0</v>
      </c>
      <c r="H6" s="3">
        <f t="shared" si="0"/>
        <v>-1E-3</v>
      </c>
      <c r="I6" s="3">
        <f>_xlfn.XLOOKUP(A6,'REAS I'!A:A,'REAS I'!AR:AR,"")</f>
        <v>0</v>
      </c>
      <c r="J6" s="3">
        <f t="shared" si="0"/>
        <v>-1E-3</v>
      </c>
      <c r="K6" s="3">
        <f>_xlfn.XLOOKUP(A6,'REAS I'!A:A,'REAS I'!AZ:AZ,"")</f>
        <v>1.1324321503916712E-2</v>
      </c>
      <c r="L6" s="3">
        <f t="shared" ref="L6" si="7">K6-0.001</f>
        <v>1.0324321503916711E-2</v>
      </c>
      <c r="M6" s="3">
        <f>_xlfn.XLOOKUP(A6,'REAS I'!A:A,'REAS I'!D:D,"")</f>
        <v>3.6350956688907141</v>
      </c>
      <c r="N6" s="3">
        <f t="shared" ref="N6" si="8">M6-0.001</f>
        <v>3.6340956688907142</v>
      </c>
    </row>
    <row r="9" spans="1:14" x14ac:dyDescent="0.35">
      <c r="C9" s="3"/>
    </row>
    <row r="10" spans="1:14" x14ac:dyDescent="0.35">
      <c r="C10" s="3"/>
    </row>
    <row r="11" spans="1:14" x14ac:dyDescent="0.35">
      <c r="C11" s="3"/>
    </row>
    <row r="12" spans="1:14" x14ac:dyDescent="0.35">
      <c r="C12" s="3"/>
    </row>
    <row r="13" spans="1:14" x14ac:dyDescent="0.35">
      <c r="C13" s="3"/>
    </row>
    <row r="14" spans="1:14" x14ac:dyDescent="0.35">
      <c r="C14" s="3"/>
    </row>
    <row r="15" spans="1:14" x14ac:dyDescent="0.35">
      <c r="C15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5958-1697-45A2-A2B1-CC501F000200}">
  <dimension ref="A1:N15"/>
  <sheetViews>
    <sheetView tabSelected="1" topLeftCell="A7" zoomScale="115" zoomScaleNormal="115" workbookViewId="0">
      <selection activeCell="P7" sqref="P7"/>
    </sheetView>
  </sheetViews>
  <sheetFormatPr defaultRowHeight="14.5" x14ac:dyDescent="0.35"/>
  <cols>
    <col min="1" max="1" width="42.54296875" bestFit="1" customWidth="1"/>
    <col min="2" max="2" width="11.7265625" bestFit="1" customWidth="1"/>
  </cols>
  <sheetData>
    <row r="1" spans="1:14" x14ac:dyDescent="0.35">
      <c r="A1" s="1" t="s">
        <v>0</v>
      </c>
      <c r="B1" t="s">
        <v>72</v>
      </c>
      <c r="C1" t="s">
        <v>73</v>
      </c>
      <c r="D1" t="s">
        <v>74</v>
      </c>
      <c r="E1" t="s">
        <v>78</v>
      </c>
      <c r="F1" t="s">
        <v>79</v>
      </c>
      <c r="G1" t="s">
        <v>75</v>
      </c>
      <c r="I1" t="s">
        <v>76</v>
      </c>
      <c r="K1" t="s">
        <v>77</v>
      </c>
      <c r="M1" t="s">
        <v>2</v>
      </c>
    </row>
    <row r="2" spans="1:14" x14ac:dyDescent="0.35">
      <c r="A2" s="2" t="s">
        <v>24</v>
      </c>
      <c r="B2" s="18">
        <f>_xlfn.XLOOKUP(A2,'REAS O'!A:A,'REAS O'!B:B,"")</f>
        <v>17432.942390063476</v>
      </c>
      <c r="C2" s="3">
        <f>_xlfn.XLOOKUP(A2,EPOS!D:D,EPOS!AB:AB,"")</f>
        <v>-7.3689973399796757E-2</v>
      </c>
      <c r="D2" s="3">
        <f>_xlfn.XLOOKUP(A2,EPOS!D:D,EPOS!AE:AE,"")</f>
        <v>-0.12019396718081696</v>
      </c>
      <c r="E2" s="3">
        <f>_xlfn.XLOOKUP(A2,'REAS O'!A:A,'REAS O'!BS:BS,"")</f>
        <v>8.297828444341504E-2</v>
      </c>
      <c r="F2" s="3">
        <f>_xlfn.XLOOKUP(A2,'REAS O'!A:A,'REAS O'!BT:BT,"")</f>
        <v>5.3334870839152559E-2</v>
      </c>
      <c r="G2" s="3">
        <f>_xlfn.XLOOKUP(A2,'REAS O'!A:A,'REAS O'!AJ:AJ,"")</f>
        <v>1.0554192388360528E-2</v>
      </c>
      <c r="H2" s="3">
        <f>G2-0.001</f>
        <v>9.5541923883605273E-3</v>
      </c>
      <c r="I2" s="3">
        <f>_xlfn.XLOOKUP(A2,'REAS O'!A:A,'REAS O'!AR:AR,"")</f>
        <v>-0.2009896462139501</v>
      </c>
      <c r="J2" s="3">
        <f>I2-0.001</f>
        <v>-0.2019896462139501</v>
      </c>
      <c r="K2" s="3">
        <f>_xlfn.XLOOKUP(A2,'REAS O'!A:A,'REAS O'!AZ:AZ,"")</f>
        <v>-0.10708818611747151</v>
      </c>
      <c r="L2" s="3">
        <f>K2-0.001</f>
        <v>-0.10808818611747151</v>
      </c>
      <c r="M2" s="3">
        <f>_xlfn.XLOOKUP(A2,'REAS O'!A:A,'REAS O'!D:D,"")</f>
        <v>-0.18192094198978581</v>
      </c>
      <c r="N2" s="3">
        <f>M2-0.001</f>
        <v>-0.18292094198978581</v>
      </c>
    </row>
    <row r="3" spans="1:14" x14ac:dyDescent="0.35">
      <c r="A3" s="2" t="s">
        <v>28</v>
      </c>
      <c r="B3" s="18">
        <f>_xlfn.XLOOKUP(A3,'REAS O'!A:A,'REAS O'!B:B,"")</f>
        <v>3053.2086330737675</v>
      </c>
      <c r="C3" s="3">
        <f>_xlfn.XLOOKUP(A3,EPOS!D:D,EPOS!AB:AB,"")</f>
        <v>-0.29680740937285244</v>
      </c>
      <c r="D3" s="3">
        <f>_xlfn.XLOOKUP(A3,EPOS!D:D,EPOS!AE:AE,"")</f>
        <v>-0.23028093492489943</v>
      </c>
      <c r="E3" s="3">
        <f>_xlfn.XLOOKUP(A3,'REAS O'!A:A,'REAS O'!BS:BS,"")</f>
        <v>-0.43231377591934939</v>
      </c>
      <c r="F3" s="3">
        <f>_xlfn.XLOOKUP(A3,'REAS O'!A:A,'REAS O'!BT:BT,"")</f>
        <v>3.9795525035672741E-2</v>
      </c>
      <c r="G3" s="3">
        <f>_xlfn.XLOOKUP(A3,'REAS O'!A:A,'REAS O'!AJ:AJ,"")</f>
        <v>-0.58838435609434214</v>
      </c>
      <c r="H3" s="3">
        <f t="shared" ref="H3:J6" si="0">G3-0.001</f>
        <v>-0.58938435609434214</v>
      </c>
      <c r="I3" s="3">
        <f>_xlfn.XLOOKUP(A3,'REAS O'!A:A,'REAS O'!AR:AR,"")</f>
        <v>-4.8506293834643666E-3</v>
      </c>
      <c r="J3" s="3">
        <f t="shared" si="0"/>
        <v>-5.8506293834643666E-3</v>
      </c>
      <c r="K3" s="3">
        <f>_xlfn.XLOOKUP(A3,'REAS O'!A:A,'REAS O'!AZ:AZ,"")</f>
        <v>-0.10773562665538616</v>
      </c>
      <c r="L3" s="3">
        <f t="shared" ref="L3:L6" si="1">K3-0.001</f>
        <v>-0.10873562665538616</v>
      </c>
      <c r="M3" s="3">
        <f>_xlfn.XLOOKUP(A3,'REAS O'!A:A,'REAS O'!D:D,"")</f>
        <v>-0.42343059548307416</v>
      </c>
      <c r="N3" s="3">
        <f t="shared" ref="N3:N6" si="2">M3-0.001</f>
        <v>-0.42443059548307416</v>
      </c>
    </row>
    <row r="4" spans="1:14" x14ac:dyDescent="0.35">
      <c r="A4" s="2" t="s">
        <v>23</v>
      </c>
      <c r="B4" s="18">
        <f>_xlfn.XLOOKUP(A4,'REAS O'!A:A,'REAS O'!B:B,"")</f>
        <v>7601.2949702041624</v>
      </c>
      <c r="C4" s="3">
        <f>_xlfn.XLOOKUP(A4,EPOS!D:D,EPOS!AB:AB,"")</f>
        <v>0.10839605324711662</v>
      </c>
      <c r="D4" s="3">
        <f>_xlfn.XLOOKUP(A4,EPOS!D:D,EPOS!AE:AE,"")</f>
        <v>-0.2479754383485557</v>
      </c>
      <c r="E4" s="3">
        <f>_xlfn.XLOOKUP(A4,'REAS O'!A:A,'REAS O'!BS:BS,"")</f>
        <v>0.68437227854764893</v>
      </c>
      <c r="F4" s="3">
        <f>_xlfn.XLOOKUP(A4,'REAS O'!A:A,'REAS O'!BT:BT,"")</f>
        <v>0.13871824746287387</v>
      </c>
      <c r="G4" s="3">
        <f>_xlfn.XLOOKUP(A4,'REAS O'!A:A,'REAS O'!AJ:AJ,"")</f>
        <v>0.1865671927456416</v>
      </c>
      <c r="H4" s="3">
        <f t="shared" si="0"/>
        <v>0.1855671927456416</v>
      </c>
      <c r="I4" s="3">
        <f>_xlfn.XLOOKUP(A4,'REAS O'!A:A,'REAS O'!AR:AR,"")</f>
        <v>0.1038610175375505</v>
      </c>
      <c r="J4" s="3">
        <f t="shared" si="0"/>
        <v>0.1028610175375505</v>
      </c>
      <c r="K4" s="3">
        <f>_xlfn.XLOOKUP(A4,'REAS O'!A:A,'REAS O'!AZ:AZ,"")</f>
        <v>-9.8390271985728139E-2</v>
      </c>
      <c r="L4" s="3">
        <f t="shared" si="1"/>
        <v>-9.939027198572814E-2</v>
      </c>
      <c r="M4" s="3">
        <f>_xlfn.XLOOKUP(A4,'REAS O'!A:A,'REAS O'!D:D,"")</f>
        <v>0.26966114609312575</v>
      </c>
      <c r="N4" s="3">
        <f t="shared" si="2"/>
        <v>0.26866114609312575</v>
      </c>
    </row>
    <row r="5" spans="1:14" x14ac:dyDescent="0.35">
      <c r="A5" s="2" t="s">
        <v>26</v>
      </c>
      <c r="B5" s="18">
        <f>_xlfn.XLOOKUP(A5,'REAS O'!A:A,'REAS O'!B:B,"")</f>
        <v>7889.584220916393</v>
      </c>
      <c r="C5" s="3">
        <f>_xlfn.XLOOKUP(A5,EPOS!D:D,EPOS!AB:AB,"")</f>
        <v>-0.31172858773389012</v>
      </c>
      <c r="D5" s="3">
        <f>_xlfn.XLOOKUP(A5,EPOS!D:D,EPOS!AE:AE,"")</f>
        <v>-0.38380500869043932</v>
      </c>
      <c r="E5" s="3">
        <f>_xlfn.XLOOKUP(A5,'REAS O'!A:A,'REAS O'!BS:BS,"")</f>
        <v>0.36582978847616676</v>
      </c>
      <c r="F5" s="3">
        <f>_xlfn.XLOOKUP(A5,'REAS O'!A:A,'REAS O'!BT:BT,"")</f>
        <v>1.8480469230584617</v>
      </c>
      <c r="G5" s="3">
        <f>_xlfn.XLOOKUP(A5,'REAS O'!A:A,'REAS O'!AJ:AJ,"")</f>
        <v>1.8360699272045977E-2</v>
      </c>
      <c r="H5" s="3">
        <f t="shared" si="0"/>
        <v>1.7360699272045976E-2</v>
      </c>
      <c r="I5" s="3">
        <f>_xlfn.XLOOKUP(A5,'REAS O'!A:A,'REAS O'!AR:AR,"")</f>
        <v>-8.4870182796640492E-2</v>
      </c>
      <c r="J5" s="3">
        <f t="shared" si="0"/>
        <v>-8.5870182796640493E-2</v>
      </c>
      <c r="K5" s="3">
        <f>_xlfn.XLOOKUP(A5,'REAS O'!A:A,'REAS O'!AZ:AZ,"")</f>
        <v>-0.17632375222376306</v>
      </c>
      <c r="L5" s="3">
        <f t="shared" si="1"/>
        <v>-0.17732375222376306</v>
      </c>
      <c r="M5" s="3">
        <f>_xlfn.XLOOKUP(A5,'REAS O'!A:A,'REAS O'!D:D,"")</f>
        <v>-0.21037508736075416</v>
      </c>
      <c r="N5" s="3">
        <f t="shared" si="2"/>
        <v>-0.21137508736075417</v>
      </c>
    </row>
    <row r="6" spans="1:14" x14ac:dyDescent="0.35">
      <c r="A6" s="19" t="s">
        <v>27</v>
      </c>
      <c r="B6" s="18">
        <f>_xlfn.XLOOKUP(A6,'REAS O'!A:A,'REAS O'!B:B,"")</f>
        <v>5050.9718817043404</v>
      </c>
      <c r="C6" s="3">
        <f>_xlfn.XLOOKUP(A6,EPOS!D:D,EPOS!AB:AB,"")</f>
        <v>0.11785806459551204</v>
      </c>
      <c r="D6" s="3">
        <f>_xlfn.XLOOKUP(A6,EPOS!D:D,EPOS!AE:AE,"")</f>
        <v>1.7906240254929975</v>
      </c>
      <c r="E6" s="3">
        <f>_xlfn.XLOOKUP(A6,'REAS O'!A:A,'REAS O'!BS:BS,"")</f>
        <v>0</v>
      </c>
      <c r="F6" s="3">
        <f>_xlfn.XLOOKUP(A6,'REAS O'!A:A,'REAS O'!BT:BT,"")</f>
        <v>0</v>
      </c>
      <c r="G6" s="3">
        <f>_xlfn.XLOOKUP(A6,'REAS O'!A:A,'REAS O'!AJ:AJ,"")</f>
        <v>0</v>
      </c>
      <c r="H6" s="3">
        <f t="shared" si="0"/>
        <v>-1E-3</v>
      </c>
      <c r="I6" s="3">
        <f>_xlfn.XLOOKUP(A6,'REAS O'!A:A,'REAS O'!AR:AR,"")</f>
        <v>0</v>
      </c>
      <c r="J6" s="3">
        <f t="shared" si="0"/>
        <v>-1E-3</v>
      </c>
      <c r="K6" s="3">
        <f>_xlfn.XLOOKUP(A6,'REAS O'!A:A,'REAS O'!AZ:AZ,"")</f>
        <v>1.1324321503916712E-2</v>
      </c>
      <c r="L6" s="3">
        <f t="shared" si="1"/>
        <v>1.0324321503916711E-2</v>
      </c>
      <c r="M6" s="3">
        <f>_xlfn.XLOOKUP(A6,'REAS O'!A:A,'REAS O'!D:D,"")</f>
        <v>3.5922919240754485</v>
      </c>
      <c r="N6" s="3">
        <f t="shared" si="2"/>
        <v>3.5912919240754486</v>
      </c>
    </row>
    <row r="9" spans="1:14" x14ac:dyDescent="0.35">
      <c r="C9" s="3"/>
    </row>
    <row r="10" spans="1:14" x14ac:dyDescent="0.35">
      <c r="C10" s="3"/>
    </row>
    <row r="11" spans="1:14" x14ac:dyDescent="0.35">
      <c r="C11" s="3"/>
    </row>
    <row r="12" spans="1:14" x14ac:dyDescent="0.35">
      <c r="C12" s="3"/>
    </row>
    <row r="13" spans="1:14" x14ac:dyDescent="0.35">
      <c r="C13" s="3"/>
    </row>
    <row r="14" spans="1:14" x14ac:dyDescent="0.35">
      <c r="C14" s="3"/>
    </row>
    <row r="15" spans="1:14" x14ac:dyDescent="0.35">
      <c r="C15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1368-5B46-4DFA-ABBC-B9A066B67154}">
  <dimension ref="A1:EW9"/>
  <sheetViews>
    <sheetView workbookViewId="0">
      <selection activeCell="A9" sqref="A9"/>
    </sheetView>
  </sheetViews>
  <sheetFormatPr defaultRowHeight="14.5" x14ac:dyDescent="0.35"/>
  <sheetData>
    <row r="1" spans="1:153" x14ac:dyDescent="0.35">
      <c r="A1" s="4" t="s">
        <v>38</v>
      </c>
      <c r="B1" s="4" t="s">
        <v>39</v>
      </c>
      <c r="C1" s="4" t="s">
        <v>39</v>
      </c>
      <c r="D1" s="4" t="s">
        <v>39</v>
      </c>
      <c r="E1" s="4" t="s">
        <v>39</v>
      </c>
      <c r="F1" s="4" t="s">
        <v>39</v>
      </c>
      <c r="G1" s="4" t="s">
        <v>39</v>
      </c>
      <c r="H1" s="4" t="s">
        <v>39</v>
      </c>
      <c r="I1" s="4" t="s">
        <v>39</v>
      </c>
      <c r="J1" s="4" t="s">
        <v>40</v>
      </c>
      <c r="K1" s="4" t="s">
        <v>40</v>
      </c>
      <c r="L1" s="4" t="s">
        <v>40</v>
      </c>
      <c r="M1" s="4" t="s">
        <v>40</v>
      </c>
      <c r="N1" s="4" t="s">
        <v>40</v>
      </c>
      <c r="O1" s="4" t="s">
        <v>40</v>
      </c>
      <c r="P1" s="4" t="s">
        <v>40</v>
      </c>
      <c r="Q1" s="4" t="s">
        <v>40</v>
      </c>
      <c r="R1" s="4" t="s">
        <v>40</v>
      </c>
      <c r="S1" s="4" t="s">
        <v>40</v>
      </c>
      <c r="T1" s="4" t="s">
        <v>40</v>
      </c>
      <c r="U1" s="4" t="s">
        <v>40</v>
      </c>
      <c r="V1" s="4" t="s">
        <v>40</v>
      </c>
      <c r="W1" s="4" t="s">
        <v>40</v>
      </c>
      <c r="X1" s="4" t="s">
        <v>40</v>
      </c>
      <c r="Y1" s="4" t="s">
        <v>40</v>
      </c>
      <c r="Z1" s="4" t="s">
        <v>41</v>
      </c>
      <c r="AA1" s="4" t="s">
        <v>41</v>
      </c>
      <c r="AB1" s="4" t="s">
        <v>41</v>
      </c>
      <c r="AC1" s="4" t="s">
        <v>41</v>
      </c>
      <c r="AD1" s="4" t="s">
        <v>41</v>
      </c>
      <c r="AE1" s="4" t="s">
        <v>41</v>
      </c>
      <c r="AF1" s="4" t="s">
        <v>41</v>
      </c>
      <c r="AG1" s="4" t="s">
        <v>41</v>
      </c>
      <c r="AH1" s="4" t="s">
        <v>41</v>
      </c>
      <c r="AI1" s="4" t="s">
        <v>41</v>
      </c>
      <c r="AJ1" s="4" t="s">
        <v>41</v>
      </c>
      <c r="AK1" s="4" t="s">
        <v>41</v>
      </c>
      <c r="AL1" s="4" t="s">
        <v>41</v>
      </c>
      <c r="AM1" s="4" t="s">
        <v>41</v>
      </c>
      <c r="AN1" s="4" t="s">
        <v>41</v>
      </c>
      <c r="AO1" s="4" t="s">
        <v>41</v>
      </c>
      <c r="AP1" s="4" t="s">
        <v>41</v>
      </c>
      <c r="AQ1" s="4" t="s">
        <v>41</v>
      </c>
      <c r="AR1" s="4" t="s">
        <v>41</v>
      </c>
      <c r="AS1" s="4" t="s">
        <v>41</v>
      </c>
      <c r="AT1" s="4" t="s">
        <v>41</v>
      </c>
      <c r="AU1" s="4" t="s">
        <v>41</v>
      </c>
      <c r="AV1" s="4" t="s">
        <v>41</v>
      </c>
      <c r="AW1" s="4" t="s">
        <v>41</v>
      </c>
      <c r="AX1" s="4" t="s">
        <v>41</v>
      </c>
      <c r="AY1" s="4" t="s">
        <v>41</v>
      </c>
      <c r="AZ1" s="4" t="s">
        <v>41</v>
      </c>
      <c r="BA1" s="4" t="s">
        <v>41</v>
      </c>
      <c r="BB1" s="4" t="s">
        <v>41</v>
      </c>
      <c r="BC1" s="4" t="s">
        <v>41</v>
      </c>
      <c r="BD1" s="4" t="s">
        <v>41</v>
      </c>
      <c r="BE1" s="4" t="s">
        <v>41</v>
      </c>
      <c r="BF1" s="4" t="s">
        <v>42</v>
      </c>
      <c r="BG1" s="4" t="s">
        <v>42</v>
      </c>
      <c r="BH1" s="4" t="s">
        <v>42</v>
      </c>
      <c r="BI1" s="4" t="s">
        <v>42</v>
      </c>
      <c r="BJ1" s="4" t="s">
        <v>42</v>
      </c>
      <c r="BK1" s="4" t="s">
        <v>42</v>
      </c>
      <c r="BL1" s="4" t="s">
        <v>42</v>
      </c>
      <c r="BM1" s="4" t="s">
        <v>42</v>
      </c>
      <c r="BN1" s="4" t="s">
        <v>42</v>
      </c>
      <c r="BO1" s="4" t="s">
        <v>42</v>
      </c>
      <c r="BP1" s="4" t="s">
        <v>42</v>
      </c>
      <c r="BQ1" s="4" t="s">
        <v>42</v>
      </c>
      <c r="BR1" s="4" t="s">
        <v>42</v>
      </c>
      <c r="BS1" s="4" t="s">
        <v>42</v>
      </c>
      <c r="BT1" s="4" t="s">
        <v>42</v>
      </c>
      <c r="BU1" s="4" t="s">
        <v>42</v>
      </c>
      <c r="BV1" s="4" t="s">
        <v>42</v>
      </c>
      <c r="BW1" s="4" t="s">
        <v>42</v>
      </c>
      <c r="BX1" s="4" t="s">
        <v>42</v>
      </c>
      <c r="BY1" s="4" t="s">
        <v>42</v>
      </c>
      <c r="BZ1" s="4" t="s">
        <v>42</v>
      </c>
      <c r="CA1" s="4" t="s">
        <v>42</v>
      </c>
      <c r="CB1" s="4" t="s">
        <v>42</v>
      </c>
      <c r="CC1" s="4" t="s">
        <v>42</v>
      </c>
      <c r="CD1" s="4" t="s">
        <v>42</v>
      </c>
      <c r="CE1" s="4" t="s">
        <v>42</v>
      </c>
      <c r="CF1" s="4" t="s">
        <v>42</v>
      </c>
      <c r="CG1" s="4" t="s">
        <v>42</v>
      </c>
      <c r="CH1" s="4" t="s">
        <v>42</v>
      </c>
      <c r="CI1" s="4" t="s">
        <v>42</v>
      </c>
      <c r="CJ1" s="4" t="s">
        <v>42</v>
      </c>
      <c r="CK1" s="4" t="s">
        <v>42</v>
      </c>
      <c r="CL1" s="4" t="s">
        <v>42</v>
      </c>
      <c r="CM1" s="4" t="s">
        <v>42</v>
      </c>
      <c r="CN1" s="4" t="s">
        <v>42</v>
      </c>
      <c r="CO1" s="4" t="s">
        <v>42</v>
      </c>
      <c r="CP1" s="4" t="s">
        <v>42</v>
      </c>
      <c r="CQ1" s="4" t="s">
        <v>42</v>
      </c>
      <c r="CR1" s="4" t="s">
        <v>42</v>
      </c>
      <c r="CS1" s="4" t="s">
        <v>42</v>
      </c>
      <c r="CT1" s="4" t="s">
        <v>42</v>
      </c>
      <c r="CU1" s="4" t="s">
        <v>42</v>
      </c>
      <c r="CV1" s="4" t="s">
        <v>42</v>
      </c>
      <c r="CW1" s="4" t="s">
        <v>42</v>
      </c>
      <c r="CX1" s="4" t="s">
        <v>42</v>
      </c>
      <c r="CY1" s="4" t="s">
        <v>42</v>
      </c>
      <c r="CZ1" s="4" t="s">
        <v>42</v>
      </c>
      <c r="DA1" s="4" t="s">
        <v>42</v>
      </c>
      <c r="DB1" s="4" t="s">
        <v>42</v>
      </c>
      <c r="DC1" s="4" t="s">
        <v>42</v>
      </c>
      <c r="DD1" s="4" t="s">
        <v>42</v>
      </c>
      <c r="DE1" s="4" t="s">
        <v>42</v>
      </c>
      <c r="DF1" s="4" t="s">
        <v>42</v>
      </c>
      <c r="DG1" s="4" t="s">
        <v>42</v>
      </c>
      <c r="DH1" s="4" t="s">
        <v>42</v>
      </c>
      <c r="DI1" s="4" t="s">
        <v>42</v>
      </c>
      <c r="DJ1" s="4" t="s">
        <v>42</v>
      </c>
      <c r="DK1" s="4" t="s">
        <v>42</v>
      </c>
      <c r="DL1" s="4" t="s">
        <v>42</v>
      </c>
      <c r="DM1" s="4" t="s">
        <v>42</v>
      </c>
      <c r="DN1" s="4" t="s">
        <v>42</v>
      </c>
      <c r="DO1" s="4" t="s">
        <v>42</v>
      </c>
      <c r="DP1" s="4" t="s">
        <v>42</v>
      </c>
      <c r="DQ1" s="4" t="s">
        <v>42</v>
      </c>
      <c r="DR1" s="4" t="s">
        <v>42</v>
      </c>
      <c r="DS1" s="4" t="s">
        <v>42</v>
      </c>
      <c r="DT1" s="4" t="s">
        <v>42</v>
      </c>
      <c r="DU1" s="4" t="s">
        <v>42</v>
      </c>
      <c r="DV1" s="4" t="s">
        <v>42</v>
      </c>
      <c r="DW1" s="4" t="s">
        <v>42</v>
      </c>
      <c r="DX1" s="4" t="s">
        <v>42</v>
      </c>
      <c r="DY1" s="4" t="s">
        <v>42</v>
      </c>
      <c r="DZ1" s="4" t="s">
        <v>42</v>
      </c>
      <c r="EA1" s="4" t="s">
        <v>42</v>
      </c>
      <c r="EB1" s="4" t="s">
        <v>42</v>
      </c>
      <c r="EC1" s="4" t="s">
        <v>42</v>
      </c>
      <c r="ED1" s="4" t="s">
        <v>42</v>
      </c>
      <c r="EE1" s="4" t="s">
        <v>42</v>
      </c>
      <c r="EF1" s="4" t="s">
        <v>42</v>
      </c>
      <c r="EG1" s="4" t="s">
        <v>42</v>
      </c>
      <c r="EH1" s="4" t="s">
        <v>42</v>
      </c>
      <c r="EI1" s="4" t="s">
        <v>42</v>
      </c>
      <c r="EJ1" s="4" t="s">
        <v>42</v>
      </c>
      <c r="EK1" s="4" t="s">
        <v>42</v>
      </c>
      <c r="EL1" s="4" t="s">
        <v>42</v>
      </c>
      <c r="EM1" s="4" t="s">
        <v>42</v>
      </c>
      <c r="EN1" s="4" t="s">
        <v>42</v>
      </c>
      <c r="EO1" s="4" t="s">
        <v>42</v>
      </c>
      <c r="EP1" s="4" t="s">
        <v>42</v>
      </c>
      <c r="EQ1" s="4" t="s">
        <v>42</v>
      </c>
      <c r="ER1" s="4" t="s">
        <v>42</v>
      </c>
      <c r="ES1" s="4" t="s">
        <v>42</v>
      </c>
      <c r="ET1" s="4" t="s">
        <v>42</v>
      </c>
      <c r="EU1" s="4" t="s">
        <v>42</v>
      </c>
      <c r="EV1" s="4" t="s">
        <v>42</v>
      </c>
      <c r="EW1" s="4" t="s">
        <v>42</v>
      </c>
    </row>
    <row r="2" spans="1:153" x14ac:dyDescent="0.35">
      <c r="A2" s="4" t="s">
        <v>43</v>
      </c>
      <c r="B2" s="4" t="s">
        <v>39</v>
      </c>
      <c r="C2" s="4" t="s">
        <v>39</v>
      </c>
      <c r="D2" s="4" t="s">
        <v>39</v>
      </c>
      <c r="E2" s="4" t="s">
        <v>39</v>
      </c>
      <c r="F2" s="4" t="s">
        <v>39</v>
      </c>
      <c r="G2" s="4" t="s">
        <v>39</v>
      </c>
      <c r="H2" s="4" t="s">
        <v>39</v>
      </c>
      <c r="I2" s="4" t="s">
        <v>39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2</v>
      </c>
      <c r="X2" s="4" t="s">
        <v>2</v>
      </c>
      <c r="Y2" s="4" t="s">
        <v>2</v>
      </c>
      <c r="Z2" s="4" t="s">
        <v>2</v>
      </c>
      <c r="AA2" s="4" t="s">
        <v>2</v>
      </c>
      <c r="AB2" s="4" t="s">
        <v>2</v>
      </c>
      <c r="AC2" s="4" t="s">
        <v>2</v>
      </c>
      <c r="AD2" s="4" t="s">
        <v>2</v>
      </c>
      <c r="AE2" s="4" t="s">
        <v>2</v>
      </c>
      <c r="AF2" s="4" t="s">
        <v>2</v>
      </c>
      <c r="AG2" s="4" t="s">
        <v>2</v>
      </c>
      <c r="AH2" s="4" t="s">
        <v>2</v>
      </c>
      <c r="AI2" s="4" t="s">
        <v>2</v>
      </c>
      <c r="AJ2" s="4" t="s">
        <v>2</v>
      </c>
      <c r="AK2" s="4" t="s">
        <v>2</v>
      </c>
      <c r="AL2" s="4" t="s">
        <v>2</v>
      </c>
      <c r="AM2" s="4" t="s">
        <v>2</v>
      </c>
      <c r="AN2" s="4" t="s">
        <v>2</v>
      </c>
      <c r="AO2" s="4" t="s">
        <v>2</v>
      </c>
      <c r="AP2" s="4" t="s">
        <v>2</v>
      </c>
      <c r="AQ2" s="4" t="s">
        <v>2</v>
      </c>
      <c r="AR2" s="4" t="s">
        <v>2</v>
      </c>
      <c r="AS2" s="4" t="s">
        <v>2</v>
      </c>
      <c r="AT2" s="4" t="s">
        <v>2</v>
      </c>
      <c r="AU2" s="4" t="s">
        <v>2</v>
      </c>
      <c r="AV2" s="4" t="s">
        <v>2</v>
      </c>
      <c r="AW2" s="4" t="s">
        <v>2</v>
      </c>
      <c r="AX2" s="4" t="s">
        <v>2</v>
      </c>
      <c r="AY2" s="4" t="s">
        <v>2</v>
      </c>
      <c r="AZ2" s="4" t="s">
        <v>2</v>
      </c>
      <c r="BA2" s="4" t="s">
        <v>2</v>
      </c>
      <c r="BB2" s="4" t="s">
        <v>2</v>
      </c>
      <c r="BC2" s="4" t="s">
        <v>2</v>
      </c>
      <c r="BD2" s="4" t="s">
        <v>2</v>
      </c>
      <c r="BE2" s="4" t="s">
        <v>2</v>
      </c>
      <c r="BF2" s="4" t="s">
        <v>2</v>
      </c>
      <c r="BG2" s="4" t="s">
        <v>2</v>
      </c>
      <c r="BH2" s="4" t="s">
        <v>2</v>
      </c>
      <c r="BI2" s="4" t="s">
        <v>2</v>
      </c>
      <c r="BJ2" s="4" t="s">
        <v>2</v>
      </c>
      <c r="BK2" s="4" t="s">
        <v>2</v>
      </c>
      <c r="BL2" s="4" t="s">
        <v>2</v>
      </c>
      <c r="BM2" s="4" t="s">
        <v>2</v>
      </c>
      <c r="BN2" s="4" t="s">
        <v>2</v>
      </c>
      <c r="BO2" s="4" t="s">
        <v>2</v>
      </c>
      <c r="BP2" s="4" t="s">
        <v>2</v>
      </c>
      <c r="BQ2" s="4" t="s">
        <v>2</v>
      </c>
      <c r="BR2" s="4" t="s">
        <v>2</v>
      </c>
      <c r="BS2" s="4" t="s">
        <v>2</v>
      </c>
      <c r="BT2" s="4" t="s">
        <v>2</v>
      </c>
      <c r="BU2" s="4" t="s">
        <v>2</v>
      </c>
      <c r="BV2" s="4" t="s">
        <v>2</v>
      </c>
      <c r="BW2" s="4" t="s">
        <v>2</v>
      </c>
      <c r="BX2" s="4" t="s">
        <v>2</v>
      </c>
      <c r="BY2" s="4" t="s">
        <v>2</v>
      </c>
      <c r="BZ2" s="4" t="s">
        <v>2</v>
      </c>
      <c r="CA2" s="4" t="s">
        <v>2</v>
      </c>
      <c r="CB2" s="4" t="s">
        <v>2</v>
      </c>
      <c r="CC2" s="4" t="s">
        <v>2</v>
      </c>
      <c r="CD2" s="4" t="s">
        <v>2</v>
      </c>
      <c r="CE2" s="4" t="s">
        <v>2</v>
      </c>
      <c r="CF2" s="4" t="s">
        <v>2</v>
      </c>
      <c r="CG2" s="4" t="s">
        <v>2</v>
      </c>
      <c r="CH2" s="4" t="s">
        <v>2</v>
      </c>
      <c r="CI2" s="4" t="s">
        <v>2</v>
      </c>
      <c r="CJ2" s="4" t="s">
        <v>2</v>
      </c>
      <c r="CK2" s="4" t="s">
        <v>2</v>
      </c>
      <c r="CL2" s="4" t="s">
        <v>2</v>
      </c>
      <c r="CM2" s="4" t="s">
        <v>2</v>
      </c>
      <c r="CN2" s="4" t="s">
        <v>2</v>
      </c>
      <c r="CO2" s="4" t="s">
        <v>2</v>
      </c>
      <c r="CP2" s="4" t="s">
        <v>2</v>
      </c>
      <c r="CQ2" s="4" t="s">
        <v>2</v>
      </c>
      <c r="CR2" s="4" t="s">
        <v>2</v>
      </c>
      <c r="CS2" s="4" t="s">
        <v>2</v>
      </c>
      <c r="CT2" s="4" t="s">
        <v>2</v>
      </c>
      <c r="CU2" s="4" t="s">
        <v>2</v>
      </c>
      <c r="CV2" s="4" t="s">
        <v>2</v>
      </c>
      <c r="CW2" s="4" t="s">
        <v>2</v>
      </c>
      <c r="CX2" s="4" t="s">
        <v>2</v>
      </c>
      <c r="CY2" s="4" t="s">
        <v>2</v>
      </c>
      <c r="CZ2" s="4" t="s">
        <v>2</v>
      </c>
      <c r="DA2" s="4" t="s">
        <v>2</v>
      </c>
      <c r="DB2" s="4" t="s">
        <v>2</v>
      </c>
      <c r="DC2" s="4" t="s">
        <v>2</v>
      </c>
      <c r="DD2" s="4" t="s">
        <v>2</v>
      </c>
      <c r="DE2" s="4" t="s">
        <v>2</v>
      </c>
      <c r="DF2" s="4" t="s">
        <v>2</v>
      </c>
      <c r="DG2" s="4" t="s">
        <v>2</v>
      </c>
      <c r="DH2" s="4" t="s">
        <v>2</v>
      </c>
      <c r="DI2" s="4" t="s">
        <v>2</v>
      </c>
      <c r="DJ2" s="4" t="s">
        <v>2</v>
      </c>
      <c r="DK2" s="4" t="s">
        <v>2</v>
      </c>
      <c r="DL2" s="4" t="s">
        <v>2</v>
      </c>
      <c r="DM2" s="4" t="s">
        <v>2</v>
      </c>
      <c r="DN2" s="4" t="s">
        <v>2</v>
      </c>
      <c r="DO2" s="4" t="s">
        <v>2</v>
      </c>
      <c r="DP2" s="4" t="s">
        <v>2</v>
      </c>
      <c r="DQ2" s="4" t="s">
        <v>2</v>
      </c>
      <c r="DR2" s="4" t="s">
        <v>2</v>
      </c>
      <c r="DS2" s="4" t="s">
        <v>2</v>
      </c>
      <c r="DT2" s="4" t="s">
        <v>2</v>
      </c>
      <c r="DU2" s="4" t="s">
        <v>2</v>
      </c>
      <c r="DV2" s="4" t="s">
        <v>2</v>
      </c>
      <c r="DW2" s="4" t="s">
        <v>2</v>
      </c>
      <c r="DX2" s="4" t="s">
        <v>2</v>
      </c>
      <c r="DY2" s="4" t="s">
        <v>2</v>
      </c>
      <c r="DZ2" s="4" t="s">
        <v>2</v>
      </c>
      <c r="EA2" s="4" t="s">
        <v>2</v>
      </c>
      <c r="EB2" s="4" t="s">
        <v>2</v>
      </c>
      <c r="EC2" s="4" t="s">
        <v>2</v>
      </c>
      <c r="ED2" s="4" t="s">
        <v>2</v>
      </c>
      <c r="EE2" s="4" t="s">
        <v>2</v>
      </c>
      <c r="EF2" s="4" t="s">
        <v>2</v>
      </c>
      <c r="EG2" s="4" t="s">
        <v>2</v>
      </c>
      <c r="EH2" s="4" t="s">
        <v>2</v>
      </c>
      <c r="EI2" s="4" t="s">
        <v>2</v>
      </c>
      <c r="EJ2" s="4" t="s">
        <v>2</v>
      </c>
      <c r="EK2" s="4" t="s">
        <v>2</v>
      </c>
      <c r="EL2" s="4" t="s">
        <v>2</v>
      </c>
      <c r="EM2" s="4" t="s">
        <v>2</v>
      </c>
      <c r="EN2" s="4" t="s">
        <v>2</v>
      </c>
      <c r="EO2" s="4" t="s">
        <v>2</v>
      </c>
      <c r="EP2" s="4" t="s">
        <v>2</v>
      </c>
      <c r="EQ2" s="4" t="s">
        <v>2</v>
      </c>
      <c r="ER2" s="4" t="s">
        <v>2</v>
      </c>
      <c r="ES2" s="4" t="s">
        <v>2</v>
      </c>
      <c r="ET2" s="4" t="s">
        <v>2</v>
      </c>
      <c r="EU2" s="4" t="s">
        <v>2</v>
      </c>
      <c r="EV2" s="4" t="s">
        <v>2</v>
      </c>
      <c r="EW2" s="4" t="s">
        <v>2</v>
      </c>
    </row>
    <row r="3" spans="1:153" x14ac:dyDescent="0.35">
      <c r="A3" s="4" t="s">
        <v>44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45</v>
      </c>
      <c r="K3" s="4" t="s">
        <v>45</v>
      </c>
      <c r="L3" s="4" t="s">
        <v>45</v>
      </c>
      <c r="M3" s="4" t="s">
        <v>45</v>
      </c>
      <c r="N3" s="4" t="s">
        <v>45</v>
      </c>
      <c r="O3" s="4" t="s">
        <v>45</v>
      </c>
      <c r="P3" s="4" t="s">
        <v>45</v>
      </c>
      <c r="Q3" s="4" t="s">
        <v>45</v>
      </c>
      <c r="R3" s="4" t="s">
        <v>46</v>
      </c>
      <c r="S3" s="4" t="s">
        <v>46</v>
      </c>
      <c r="T3" s="4" t="s">
        <v>46</v>
      </c>
      <c r="U3" s="4" t="s">
        <v>46</v>
      </c>
      <c r="V3" s="4" t="s">
        <v>46</v>
      </c>
      <c r="W3" s="4" t="s">
        <v>46</v>
      </c>
      <c r="X3" s="4" t="s">
        <v>46</v>
      </c>
      <c r="Y3" s="4" t="s">
        <v>46</v>
      </c>
      <c r="Z3" s="4" t="s">
        <v>47</v>
      </c>
      <c r="AA3" s="4" t="s">
        <v>47</v>
      </c>
      <c r="AB3" s="4" t="s">
        <v>47</v>
      </c>
      <c r="AC3" s="4" t="s">
        <v>47</v>
      </c>
      <c r="AD3" s="4" t="s">
        <v>47</v>
      </c>
      <c r="AE3" s="4" t="s">
        <v>47</v>
      </c>
      <c r="AF3" s="4" t="s">
        <v>47</v>
      </c>
      <c r="AG3" s="4" t="s">
        <v>47</v>
      </c>
      <c r="AH3" s="4" t="s">
        <v>48</v>
      </c>
      <c r="AI3" s="4" t="s">
        <v>48</v>
      </c>
      <c r="AJ3" s="4" t="s">
        <v>48</v>
      </c>
      <c r="AK3" s="4" t="s">
        <v>48</v>
      </c>
      <c r="AL3" s="4" t="s">
        <v>48</v>
      </c>
      <c r="AM3" s="4" t="s">
        <v>48</v>
      </c>
      <c r="AN3" s="4" t="s">
        <v>48</v>
      </c>
      <c r="AO3" s="4" t="s">
        <v>48</v>
      </c>
      <c r="AP3" s="4" t="s">
        <v>49</v>
      </c>
      <c r="AQ3" s="4" t="s">
        <v>49</v>
      </c>
      <c r="AR3" s="4" t="s">
        <v>49</v>
      </c>
      <c r="AS3" s="4" t="s">
        <v>49</v>
      </c>
      <c r="AT3" s="4" t="s">
        <v>49</v>
      </c>
      <c r="AU3" s="4" t="s">
        <v>49</v>
      </c>
      <c r="AV3" s="4" t="s">
        <v>49</v>
      </c>
      <c r="AW3" s="4" t="s">
        <v>49</v>
      </c>
      <c r="AX3" s="4" t="s">
        <v>50</v>
      </c>
      <c r="AY3" s="4" t="s">
        <v>50</v>
      </c>
      <c r="AZ3" s="4" t="s">
        <v>50</v>
      </c>
      <c r="BA3" s="4" t="s">
        <v>50</v>
      </c>
      <c r="BB3" s="4" t="s">
        <v>50</v>
      </c>
      <c r="BC3" s="4" t="s">
        <v>50</v>
      </c>
      <c r="BD3" s="4" t="s">
        <v>50</v>
      </c>
      <c r="BE3" s="4" t="s">
        <v>50</v>
      </c>
      <c r="BF3" s="4" t="s">
        <v>51</v>
      </c>
      <c r="BG3" s="4" t="s">
        <v>51</v>
      </c>
      <c r="BH3" s="4" t="s">
        <v>51</v>
      </c>
      <c r="BI3" s="4" t="s">
        <v>51</v>
      </c>
      <c r="BJ3" s="4" t="s">
        <v>51</v>
      </c>
      <c r="BK3" s="4" t="s">
        <v>51</v>
      </c>
      <c r="BL3" s="4" t="s">
        <v>51</v>
      </c>
      <c r="BM3" s="4" t="s">
        <v>51</v>
      </c>
      <c r="BN3" s="4" t="s">
        <v>52</v>
      </c>
      <c r="BO3" s="4" t="s">
        <v>52</v>
      </c>
      <c r="BP3" s="4" t="s">
        <v>52</v>
      </c>
      <c r="BQ3" s="4" t="s">
        <v>52</v>
      </c>
      <c r="BR3" s="4" t="s">
        <v>52</v>
      </c>
      <c r="BS3" s="4" t="s">
        <v>52</v>
      </c>
      <c r="BT3" s="4" t="s">
        <v>52</v>
      </c>
      <c r="BU3" s="4" t="s">
        <v>52</v>
      </c>
      <c r="BV3" s="4" t="s">
        <v>53</v>
      </c>
      <c r="BW3" s="4" t="s">
        <v>53</v>
      </c>
      <c r="BX3" s="4" t="s">
        <v>53</v>
      </c>
      <c r="BY3" s="4" t="s">
        <v>53</v>
      </c>
      <c r="BZ3" s="4" t="s">
        <v>53</v>
      </c>
      <c r="CA3" s="4" t="s">
        <v>53</v>
      </c>
      <c r="CB3" s="4" t="s">
        <v>53</v>
      </c>
      <c r="CC3" s="4" t="s">
        <v>53</v>
      </c>
      <c r="CD3" s="4" t="s">
        <v>54</v>
      </c>
      <c r="CE3" s="4" t="s">
        <v>54</v>
      </c>
      <c r="CF3" s="4" t="s">
        <v>54</v>
      </c>
      <c r="CG3" s="4" t="s">
        <v>54</v>
      </c>
      <c r="CH3" s="4" t="s">
        <v>54</v>
      </c>
      <c r="CI3" s="4" t="s">
        <v>54</v>
      </c>
      <c r="CJ3" s="4" t="s">
        <v>54</v>
      </c>
      <c r="CK3" s="4" t="s">
        <v>54</v>
      </c>
      <c r="CL3" s="4" t="s">
        <v>55</v>
      </c>
      <c r="CM3" s="4" t="s">
        <v>55</v>
      </c>
      <c r="CN3" s="4" t="s">
        <v>55</v>
      </c>
      <c r="CO3" s="4" t="s">
        <v>55</v>
      </c>
      <c r="CP3" s="4" t="s">
        <v>55</v>
      </c>
      <c r="CQ3" s="4" t="s">
        <v>55</v>
      </c>
      <c r="CR3" s="4" t="s">
        <v>55</v>
      </c>
      <c r="CS3" s="4" t="s">
        <v>55</v>
      </c>
      <c r="CT3" s="4" t="s">
        <v>56</v>
      </c>
      <c r="CU3" s="4" t="s">
        <v>56</v>
      </c>
      <c r="CV3" s="4" t="s">
        <v>56</v>
      </c>
      <c r="CW3" s="4" t="s">
        <v>56</v>
      </c>
      <c r="CX3" s="4" t="s">
        <v>56</v>
      </c>
      <c r="CY3" s="4" t="s">
        <v>56</v>
      </c>
      <c r="CZ3" s="4" t="s">
        <v>56</v>
      </c>
      <c r="DA3" s="4" t="s">
        <v>56</v>
      </c>
      <c r="DB3" s="4" t="s">
        <v>57</v>
      </c>
      <c r="DC3" s="4" t="s">
        <v>57</v>
      </c>
      <c r="DD3" s="4" t="s">
        <v>57</v>
      </c>
      <c r="DE3" s="4" t="s">
        <v>57</v>
      </c>
      <c r="DF3" s="4" t="s">
        <v>57</v>
      </c>
      <c r="DG3" s="4" t="s">
        <v>57</v>
      </c>
      <c r="DH3" s="4" t="s">
        <v>57</v>
      </c>
      <c r="DI3" s="4" t="s">
        <v>57</v>
      </c>
      <c r="DJ3" s="4" t="s">
        <v>58</v>
      </c>
      <c r="DK3" s="4" t="s">
        <v>58</v>
      </c>
      <c r="DL3" s="4" t="s">
        <v>58</v>
      </c>
      <c r="DM3" s="4" t="s">
        <v>58</v>
      </c>
      <c r="DN3" s="4" t="s">
        <v>58</v>
      </c>
      <c r="DO3" s="4" t="s">
        <v>58</v>
      </c>
      <c r="DP3" s="4" t="s">
        <v>58</v>
      </c>
      <c r="DQ3" s="4" t="s">
        <v>58</v>
      </c>
      <c r="DR3" s="4" t="s">
        <v>59</v>
      </c>
      <c r="DS3" s="4" t="s">
        <v>59</v>
      </c>
      <c r="DT3" s="4" t="s">
        <v>59</v>
      </c>
      <c r="DU3" s="4" t="s">
        <v>59</v>
      </c>
      <c r="DV3" s="4" t="s">
        <v>59</v>
      </c>
      <c r="DW3" s="4" t="s">
        <v>59</v>
      </c>
      <c r="DX3" s="4" t="s">
        <v>59</v>
      </c>
      <c r="DY3" s="4" t="s">
        <v>59</v>
      </c>
      <c r="DZ3" s="4" t="s">
        <v>60</v>
      </c>
      <c r="EA3" s="4" t="s">
        <v>60</v>
      </c>
      <c r="EB3" s="4" t="s">
        <v>60</v>
      </c>
      <c r="EC3" s="4" t="s">
        <v>60</v>
      </c>
      <c r="ED3" s="4" t="s">
        <v>60</v>
      </c>
      <c r="EE3" s="4" t="s">
        <v>60</v>
      </c>
      <c r="EF3" s="4" t="s">
        <v>60</v>
      </c>
      <c r="EG3" s="4" t="s">
        <v>60</v>
      </c>
      <c r="EH3" s="4" t="s">
        <v>61</v>
      </c>
      <c r="EI3" s="4" t="s">
        <v>61</v>
      </c>
      <c r="EJ3" s="4" t="s">
        <v>61</v>
      </c>
      <c r="EK3" s="4" t="s">
        <v>61</v>
      </c>
      <c r="EL3" s="4" t="s">
        <v>61</v>
      </c>
      <c r="EM3" s="4" t="s">
        <v>61</v>
      </c>
      <c r="EN3" s="4" t="s">
        <v>61</v>
      </c>
      <c r="EO3" s="4" t="s">
        <v>61</v>
      </c>
      <c r="EP3" s="4" t="s">
        <v>62</v>
      </c>
      <c r="EQ3" s="4" t="s">
        <v>62</v>
      </c>
      <c r="ER3" s="4" t="s">
        <v>62</v>
      </c>
      <c r="ES3" s="4" t="s">
        <v>62</v>
      </c>
      <c r="ET3" s="4" t="s">
        <v>62</v>
      </c>
      <c r="EU3" s="4" t="s">
        <v>62</v>
      </c>
      <c r="EV3" s="4" t="s">
        <v>62</v>
      </c>
      <c r="EW3" s="4" t="s">
        <v>62</v>
      </c>
    </row>
    <row r="4" spans="1:153" x14ac:dyDescent="0.35">
      <c r="A4" s="5" t="s">
        <v>63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  <c r="J4" s="5" t="s">
        <v>64</v>
      </c>
      <c r="K4" s="5" t="s">
        <v>65</v>
      </c>
      <c r="L4" s="5" t="s">
        <v>66</v>
      </c>
      <c r="M4" s="5" t="s">
        <v>67</v>
      </c>
      <c r="N4" s="5" t="s">
        <v>68</v>
      </c>
      <c r="O4" s="5" t="s">
        <v>69</v>
      </c>
      <c r="P4" s="5" t="s">
        <v>70</v>
      </c>
      <c r="Q4" s="5" t="s">
        <v>71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70</v>
      </c>
      <c r="Y4" s="5" t="s">
        <v>71</v>
      </c>
      <c r="Z4" s="5" t="s">
        <v>64</v>
      </c>
      <c r="AA4" s="5" t="s">
        <v>65</v>
      </c>
      <c r="AB4" s="5" t="s">
        <v>66</v>
      </c>
      <c r="AC4" s="5" t="s">
        <v>67</v>
      </c>
      <c r="AD4" s="5" t="s">
        <v>68</v>
      </c>
      <c r="AE4" s="5" t="s">
        <v>69</v>
      </c>
      <c r="AF4" s="5" t="s">
        <v>70</v>
      </c>
      <c r="AG4" s="5" t="s">
        <v>71</v>
      </c>
      <c r="AH4" s="5" t="s">
        <v>64</v>
      </c>
      <c r="AI4" s="5" t="s">
        <v>65</v>
      </c>
      <c r="AJ4" s="5" t="s">
        <v>66</v>
      </c>
      <c r="AK4" s="5" t="s">
        <v>67</v>
      </c>
      <c r="AL4" s="5" t="s">
        <v>68</v>
      </c>
      <c r="AM4" s="5" t="s">
        <v>69</v>
      </c>
      <c r="AN4" s="5" t="s">
        <v>70</v>
      </c>
      <c r="AO4" s="5" t="s">
        <v>71</v>
      </c>
      <c r="AP4" s="5" t="s">
        <v>64</v>
      </c>
      <c r="AQ4" s="5" t="s">
        <v>65</v>
      </c>
      <c r="AR4" s="5" t="s">
        <v>66</v>
      </c>
      <c r="AS4" s="5" t="s">
        <v>67</v>
      </c>
      <c r="AT4" s="5" t="s">
        <v>68</v>
      </c>
      <c r="AU4" s="5" t="s">
        <v>69</v>
      </c>
      <c r="AV4" s="5" t="s">
        <v>70</v>
      </c>
      <c r="AW4" s="5" t="s">
        <v>71</v>
      </c>
      <c r="AX4" s="5" t="s">
        <v>64</v>
      </c>
      <c r="AY4" s="5" t="s">
        <v>65</v>
      </c>
      <c r="AZ4" s="5" t="s">
        <v>66</v>
      </c>
      <c r="BA4" s="5" t="s">
        <v>67</v>
      </c>
      <c r="BB4" s="5" t="s">
        <v>68</v>
      </c>
      <c r="BC4" s="5" t="s">
        <v>69</v>
      </c>
      <c r="BD4" s="5" t="s">
        <v>70</v>
      </c>
      <c r="BE4" s="5" t="s">
        <v>71</v>
      </c>
      <c r="BF4" s="5" t="s">
        <v>64</v>
      </c>
      <c r="BG4" s="5" t="s">
        <v>65</v>
      </c>
      <c r="BH4" s="5" t="s">
        <v>66</v>
      </c>
      <c r="BI4" s="5" t="s">
        <v>67</v>
      </c>
      <c r="BJ4" s="5" t="s">
        <v>68</v>
      </c>
      <c r="BK4" s="5" t="s">
        <v>69</v>
      </c>
      <c r="BL4" s="5" t="s">
        <v>70</v>
      </c>
      <c r="BM4" s="5" t="s">
        <v>71</v>
      </c>
      <c r="BN4" s="5" t="s">
        <v>64</v>
      </c>
      <c r="BO4" s="5" t="s">
        <v>65</v>
      </c>
      <c r="BP4" s="5" t="s">
        <v>66</v>
      </c>
      <c r="BQ4" s="5" t="s">
        <v>67</v>
      </c>
      <c r="BR4" s="5" t="s">
        <v>68</v>
      </c>
      <c r="BS4" s="5" t="s">
        <v>69</v>
      </c>
      <c r="BT4" s="5" t="s">
        <v>70</v>
      </c>
      <c r="BU4" s="5" t="s">
        <v>71</v>
      </c>
      <c r="BV4" s="5" t="s">
        <v>64</v>
      </c>
      <c r="BW4" s="5" t="s">
        <v>65</v>
      </c>
      <c r="BX4" s="5" t="s">
        <v>66</v>
      </c>
      <c r="BY4" s="5" t="s">
        <v>67</v>
      </c>
      <c r="BZ4" s="5" t="s">
        <v>68</v>
      </c>
      <c r="CA4" s="5" t="s">
        <v>69</v>
      </c>
      <c r="CB4" s="5" t="s">
        <v>70</v>
      </c>
      <c r="CC4" s="5" t="s">
        <v>71</v>
      </c>
      <c r="CD4" s="5" t="s">
        <v>64</v>
      </c>
      <c r="CE4" s="5" t="s">
        <v>65</v>
      </c>
      <c r="CF4" s="5" t="s">
        <v>66</v>
      </c>
      <c r="CG4" s="5" t="s">
        <v>67</v>
      </c>
      <c r="CH4" s="5" t="s">
        <v>68</v>
      </c>
      <c r="CI4" s="5" t="s">
        <v>69</v>
      </c>
      <c r="CJ4" s="5" t="s">
        <v>70</v>
      </c>
      <c r="CK4" s="5" t="s">
        <v>71</v>
      </c>
      <c r="CL4" s="5" t="s">
        <v>64</v>
      </c>
      <c r="CM4" s="5" t="s">
        <v>65</v>
      </c>
      <c r="CN4" s="5" t="s">
        <v>66</v>
      </c>
      <c r="CO4" s="5" t="s">
        <v>67</v>
      </c>
      <c r="CP4" s="5" t="s">
        <v>68</v>
      </c>
      <c r="CQ4" s="5" t="s">
        <v>69</v>
      </c>
      <c r="CR4" s="5" t="s">
        <v>70</v>
      </c>
      <c r="CS4" s="5" t="s">
        <v>71</v>
      </c>
      <c r="CT4" s="5" t="s">
        <v>64</v>
      </c>
      <c r="CU4" s="5" t="s">
        <v>65</v>
      </c>
      <c r="CV4" s="5" t="s">
        <v>66</v>
      </c>
      <c r="CW4" s="5" t="s">
        <v>67</v>
      </c>
      <c r="CX4" s="5" t="s">
        <v>68</v>
      </c>
      <c r="CY4" s="5" t="s">
        <v>69</v>
      </c>
      <c r="CZ4" s="5" t="s">
        <v>70</v>
      </c>
      <c r="DA4" s="5" t="s">
        <v>71</v>
      </c>
      <c r="DB4" s="5" t="s">
        <v>64</v>
      </c>
      <c r="DC4" s="5" t="s">
        <v>65</v>
      </c>
      <c r="DD4" s="5" t="s">
        <v>66</v>
      </c>
      <c r="DE4" s="5" t="s">
        <v>67</v>
      </c>
      <c r="DF4" s="5" t="s">
        <v>68</v>
      </c>
      <c r="DG4" s="5" t="s">
        <v>69</v>
      </c>
      <c r="DH4" s="5" t="s">
        <v>70</v>
      </c>
      <c r="DI4" s="5" t="s">
        <v>71</v>
      </c>
      <c r="DJ4" s="5" t="s">
        <v>64</v>
      </c>
      <c r="DK4" s="5" t="s">
        <v>65</v>
      </c>
      <c r="DL4" s="5" t="s">
        <v>66</v>
      </c>
      <c r="DM4" s="5" t="s">
        <v>67</v>
      </c>
      <c r="DN4" s="5" t="s">
        <v>68</v>
      </c>
      <c r="DO4" s="5" t="s">
        <v>69</v>
      </c>
      <c r="DP4" s="5" t="s">
        <v>70</v>
      </c>
      <c r="DQ4" s="5" t="s">
        <v>71</v>
      </c>
      <c r="DR4" s="5" t="s">
        <v>64</v>
      </c>
      <c r="DS4" s="5" t="s">
        <v>65</v>
      </c>
      <c r="DT4" s="5" t="s">
        <v>66</v>
      </c>
      <c r="DU4" s="5" t="s">
        <v>67</v>
      </c>
      <c r="DV4" s="5" t="s">
        <v>68</v>
      </c>
      <c r="DW4" s="5" t="s">
        <v>69</v>
      </c>
      <c r="DX4" s="5" t="s">
        <v>70</v>
      </c>
      <c r="DY4" s="5" t="s">
        <v>71</v>
      </c>
      <c r="DZ4" s="5" t="s">
        <v>64</v>
      </c>
      <c r="EA4" s="5" t="s">
        <v>65</v>
      </c>
      <c r="EB4" s="5" t="s">
        <v>66</v>
      </c>
      <c r="EC4" s="5" t="s">
        <v>67</v>
      </c>
      <c r="ED4" s="5" t="s">
        <v>68</v>
      </c>
      <c r="EE4" s="5" t="s">
        <v>69</v>
      </c>
      <c r="EF4" s="5" t="s">
        <v>70</v>
      </c>
      <c r="EG4" s="5" t="s">
        <v>71</v>
      </c>
      <c r="EH4" s="5" t="s">
        <v>64</v>
      </c>
      <c r="EI4" s="5" t="s">
        <v>65</v>
      </c>
      <c r="EJ4" s="5" t="s">
        <v>66</v>
      </c>
      <c r="EK4" s="5" t="s">
        <v>67</v>
      </c>
      <c r="EL4" s="5" t="s">
        <v>68</v>
      </c>
      <c r="EM4" s="5" t="s">
        <v>69</v>
      </c>
      <c r="EN4" s="5" t="s">
        <v>70</v>
      </c>
      <c r="EO4" s="5" t="s">
        <v>71</v>
      </c>
      <c r="EP4" s="5" t="s">
        <v>64</v>
      </c>
      <c r="EQ4" s="5" t="s">
        <v>65</v>
      </c>
      <c r="ER4" s="5" t="s">
        <v>66</v>
      </c>
      <c r="ES4" s="5" t="s">
        <v>67</v>
      </c>
      <c r="ET4" s="5" t="s">
        <v>68</v>
      </c>
      <c r="EU4" s="5" t="s">
        <v>69</v>
      </c>
      <c r="EV4" s="5" t="s">
        <v>70</v>
      </c>
      <c r="EW4" s="5" t="s">
        <v>71</v>
      </c>
    </row>
    <row r="5" spans="1:153" x14ac:dyDescent="0.35">
      <c r="A5" s="7" t="s">
        <v>24</v>
      </c>
      <c r="B5" s="15">
        <v>17432.942390063476</v>
      </c>
      <c r="C5" s="15">
        <v>21309.605984127043</v>
      </c>
      <c r="D5" s="14">
        <v>-0.18192094198978581</v>
      </c>
      <c r="E5" s="15">
        <v>-3876.6635940635679</v>
      </c>
      <c r="F5" s="16">
        <v>-8.4220260706810102E-2</v>
      </c>
      <c r="G5" s="14">
        <v>8.297828444341504E-2</v>
      </c>
      <c r="H5" s="14">
        <v>5.3334870839152559E-2</v>
      </c>
      <c r="I5" s="17"/>
      <c r="J5" s="15">
        <v>10119.850790063478</v>
      </c>
      <c r="K5" s="15">
        <v>12640.57138297653</v>
      </c>
      <c r="L5" s="14">
        <v>-0.19941508311149514</v>
      </c>
      <c r="M5" s="15">
        <v>-2520.7205929130523</v>
      </c>
      <c r="N5" s="16">
        <v>-8.4220260706810102E-2</v>
      </c>
      <c r="O5" s="14">
        <v>8.297828444341504E-2</v>
      </c>
      <c r="P5" s="14">
        <v>5.3334870839152559E-2</v>
      </c>
      <c r="Q5" s="17"/>
      <c r="R5" s="15">
        <v>7313.0915999999997</v>
      </c>
      <c r="S5" s="15">
        <v>8669.0346011505135</v>
      </c>
      <c r="T5" s="14">
        <v>-0.15641222622073248</v>
      </c>
      <c r="U5" s="15">
        <v>-1355.9430011505137</v>
      </c>
      <c r="V5" s="16"/>
      <c r="W5" s="14"/>
      <c r="X5" s="14"/>
      <c r="Y5" s="17"/>
      <c r="Z5" s="15">
        <v>5451.4535900634764</v>
      </c>
      <c r="AA5" s="15">
        <v>8020.9307588882448</v>
      </c>
      <c r="AB5" s="14">
        <v>-0.32034650916010576</v>
      </c>
      <c r="AC5" s="15">
        <v>-2569.4771688247683</v>
      </c>
      <c r="AD5" s="16">
        <v>-8.4220260706810102E-2</v>
      </c>
      <c r="AE5" s="14">
        <v>8.297828444341504E-2</v>
      </c>
      <c r="AF5" s="14">
        <v>5.3334870839152559E-2</v>
      </c>
      <c r="AG5" s="17"/>
      <c r="AH5" s="15">
        <v>4668.3971999999994</v>
      </c>
      <c r="AI5" s="15">
        <v>4619.640624088287</v>
      </c>
      <c r="AJ5" s="14">
        <v>1.0554192388360528E-2</v>
      </c>
      <c r="AK5" s="15">
        <v>48.756575911712389</v>
      </c>
      <c r="AL5" s="16"/>
      <c r="AM5" s="14"/>
      <c r="AN5" s="14"/>
      <c r="AO5" s="17"/>
      <c r="AP5" s="15">
        <v>3638.3915999999999</v>
      </c>
      <c r="AQ5" s="15">
        <v>4553.6225942001347</v>
      </c>
      <c r="AR5" s="14">
        <v>-0.2009896462139501</v>
      </c>
      <c r="AS5" s="15">
        <v>-915.23099420013477</v>
      </c>
      <c r="AT5" s="16"/>
      <c r="AU5" s="14"/>
      <c r="AV5" s="14"/>
      <c r="AW5" s="17"/>
      <c r="AX5" s="15">
        <v>3674.7</v>
      </c>
      <c r="AY5" s="15">
        <v>4115.4120069503788</v>
      </c>
      <c r="AZ5" s="14">
        <v>-0.10708818611747151</v>
      </c>
      <c r="BA5" s="15">
        <v>-440.71200695037896</v>
      </c>
      <c r="BB5" s="16"/>
      <c r="BC5" s="14"/>
      <c r="BD5" s="14"/>
      <c r="BE5" s="17"/>
      <c r="BF5" s="15">
        <v>1652.8301982345581</v>
      </c>
      <c r="BG5" s="15">
        <v>2580.7157800445557</v>
      </c>
      <c r="BH5" s="14">
        <v>-0.35954582406357738</v>
      </c>
      <c r="BI5" s="15">
        <v>-927.88558180999757</v>
      </c>
      <c r="BJ5" s="16">
        <v>-2.7936383463621484E-2</v>
      </c>
      <c r="BK5" s="14">
        <v>1.4773689562117553E-3</v>
      </c>
      <c r="BL5" s="14">
        <v>0.11622796916435441</v>
      </c>
      <c r="BM5" s="17"/>
      <c r="BN5" s="15">
        <v>1516.87019821167</v>
      </c>
      <c r="BO5" s="15">
        <v>1769.4629916992187</v>
      </c>
      <c r="BP5" s="14">
        <v>-0.14275110283317283</v>
      </c>
      <c r="BQ5" s="15">
        <v>-252.59279348754876</v>
      </c>
      <c r="BR5" s="16">
        <v>-0.13063290627652258</v>
      </c>
      <c r="BS5" s="14">
        <v>8.297828444341504E-2</v>
      </c>
      <c r="BT5" s="14">
        <v>5.3334870839152559E-2</v>
      </c>
      <c r="BU5" s="17"/>
      <c r="BV5" s="15">
        <v>2281.7531936172486</v>
      </c>
      <c r="BW5" s="15">
        <v>3670.7519871444701</v>
      </c>
      <c r="BX5" s="14">
        <v>-0.3783962518829127</v>
      </c>
      <c r="BY5" s="15">
        <v>-1388.9987935272216</v>
      </c>
      <c r="BZ5" s="16"/>
      <c r="CA5" s="14"/>
      <c r="CB5" s="14"/>
      <c r="CC5" s="17"/>
      <c r="CD5" s="15">
        <v>1907.9843999999998</v>
      </c>
      <c r="CE5" s="15">
        <v>1844.2344066047669</v>
      </c>
      <c r="CF5" s="14">
        <v>3.4567185801829048E-2</v>
      </c>
      <c r="CG5" s="15">
        <v>63.749993395232877</v>
      </c>
      <c r="CH5" s="16"/>
      <c r="CI5" s="14"/>
      <c r="CJ5" s="14"/>
      <c r="CK5" s="17"/>
      <c r="CL5" s="15">
        <v>935.15280000000007</v>
      </c>
      <c r="CM5" s="15">
        <v>768.7662112350464</v>
      </c>
      <c r="CN5" s="14">
        <v>0.216433274945381</v>
      </c>
      <c r="CO5" s="15">
        <v>166.38658876495367</v>
      </c>
      <c r="CP5" s="16"/>
      <c r="CQ5" s="14"/>
      <c r="CR5" s="14"/>
      <c r="CS5" s="17"/>
      <c r="CT5" s="15">
        <v>1825.26</v>
      </c>
      <c r="CU5" s="15">
        <v>2006.640006248474</v>
      </c>
      <c r="CV5" s="14">
        <v>-9.0389908346128367E-2</v>
      </c>
      <c r="CW5" s="15">
        <v>-181.38000624847405</v>
      </c>
      <c r="CX5" s="16"/>
      <c r="CY5" s="14"/>
      <c r="CZ5" s="14"/>
      <c r="DA5" s="17"/>
      <c r="DB5" s="15">
        <v>637.34519999999998</v>
      </c>
      <c r="DC5" s="15">
        <v>501.01860336303713</v>
      </c>
      <c r="DD5" s="14">
        <v>0.27209887162249902</v>
      </c>
      <c r="DE5" s="15">
        <v>136.32659663696285</v>
      </c>
      <c r="DF5" s="16"/>
      <c r="DG5" s="14"/>
      <c r="DH5" s="14"/>
      <c r="DI5" s="17"/>
      <c r="DJ5" s="15">
        <v>1091.7360000000001</v>
      </c>
      <c r="DK5" s="15">
        <v>971.74739671325688</v>
      </c>
      <c r="DL5" s="14">
        <v>0.1234771543433828</v>
      </c>
      <c r="DM5" s="15">
        <v>119.98860328674323</v>
      </c>
      <c r="DN5" s="16"/>
      <c r="DO5" s="14"/>
      <c r="DP5" s="14"/>
      <c r="DQ5" s="17"/>
      <c r="DR5" s="15">
        <v>1909.3103999999998</v>
      </c>
      <c r="DS5" s="15">
        <v>3080.8565941238403</v>
      </c>
      <c r="DT5" s="14">
        <v>-0.38026638317354544</v>
      </c>
      <c r="DU5" s="15">
        <v>-1171.5461941238405</v>
      </c>
      <c r="DV5" s="16"/>
      <c r="DW5" s="14"/>
      <c r="DX5" s="14"/>
      <c r="DY5" s="17"/>
      <c r="DZ5" s="15">
        <v>894.43560000000002</v>
      </c>
      <c r="EA5" s="15">
        <v>732.4692006530762</v>
      </c>
      <c r="EB5" s="14">
        <v>0.22112383592718032</v>
      </c>
      <c r="EC5" s="15">
        <v>161.96639934692382</v>
      </c>
      <c r="ED5" s="16"/>
      <c r="EE5" s="14"/>
      <c r="EF5" s="14"/>
      <c r="EG5" s="17"/>
      <c r="EH5" s="15">
        <v>1152.0203999999999</v>
      </c>
      <c r="EI5" s="15">
        <v>1343.7707967681886</v>
      </c>
      <c r="EJ5" s="14">
        <v>-0.14269576123350391</v>
      </c>
      <c r="EK5" s="15">
        <v>-191.75039676818869</v>
      </c>
      <c r="EL5" s="16"/>
      <c r="EM5" s="14"/>
      <c r="EN5" s="14"/>
      <c r="EO5" s="17"/>
      <c r="EP5" s="15">
        <v>1628.2439999999997</v>
      </c>
      <c r="EQ5" s="15">
        <v>2039.1720095291137</v>
      </c>
      <c r="ER5" s="14">
        <v>-0.20151709007814667</v>
      </c>
      <c r="ES5" s="15">
        <v>-410.92800952911398</v>
      </c>
      <c r="ET5" s="16"/>
      <c r="EU5" s="14"/>
      <c r="EV5" s="14"/>
      <c r="EW5" s="17"/>
    </row>
    <row r="6" spans="1:153" x14ac:dyDescent="0.35">
      <c r="A6" s="7" t="s">
        <v>26</v>
      </c>
      <c r="B6" s="15">
        <v>7889.584220916393</v>
      </c>
      <c r="C6" s="15">
        <v>9991.5594032440185</v>
      </c>
      <c r="D6" s="14">
        <v>-0.21037508736075416</v>
      </c>
      <c r="E6" s="15">
        <v>-2101.9751823276256</v>
      </c>
      <c r="F6" s="16">
        <v>-0.18301774757537759</v>
      </c>
      <c r="G6" s="14">
        <v>0.36582978847616676</v>
      </c>
      <c r="H6" s="14">
        <v>1.8480469230584617</v>
      </c>
      <c r="I6" s="17">
        <v>2.738</v>
      </c>
      <c r="J6" s="15">
        <v>4380.395420916393</v>
      </c>
      <c r="K6" s="15">
        <v>5975.3777925720224</v>
      </c>
      <c r="L6" s="14">
        <v>-0.2669257789253674</v>
      </c>
      <c r="M6" s="15">
        <v>-1594.9823716556293</v>
      </c>
      <c r="N6" s="16">
        <v>-0.18301774757537759</v>
      </c>
      <c r="O6" s="14">
        <v>0.36582978847616676</v>
      </c>
      <c r="P6" s="14">
        <v>1.8480469230584617</v>
      </c>
      <c r="Q6" s="17">
        <v>2.738</v>
      </c>
      <c r="R6" s="15">
        <v>3509.1887999999994</v>
      </c>
      <c r="S6" s="15">
        <v>4016.1816106719966</v>
      </c>
      <c r="T6" s="14">
        <v>-0.1262375210634874</v>
      </c>
      <c r="U6" s="15">
        <v>-506.99281067199718</v>
      </c>
      <c r="V6" s="16"/>
      <c r="W6" s="14"/>
      <c r="X6" s="14"/>
      <c r="Y6" s="17"/>
      <c r="Z6" s="15">
        <v>2304.316220916392</v>
      </c>
      <c r="AA6" s="15">
        <v>3936.7295989761351</v>
      </c>
      <c r="AB6" s="14">
        <v>-0.41466230713034014</v>
      </c>
      <c r="AC6" s="15">
        <v>-1632.4133780597431</v>
      </c>
      <c r="AD6" s="16">
        <v>-0.18301774757537759</v>
      </c>
      <c r="AE6" s="14">
        <v>0.36582978847616676</v>
      </c>
      <c r="AF6" s="14">
        <v>1.8480469230584617</v>
      </c>
      <c r="AG6" s="17">
        <v>2.738</v>
      </c>
      <c r="AH6" s="15">
        <v>2076.0792000000001</v>
      </c>
      <c r="AI6" s="15">
        <v>2038.6481935958864</v>
      </c>
      <c r="AJ6" s="14">
        <v>1.8360699272045977E-2</v>
      </c>
      <c r="AK6" s="15">
        <v>37.431006404113759</v>
      </c>
      <c r="AL6" s="16"/>
      <c r="AM6" s="14"/>
      <c r="AN6" s="14"/>
      <c r="AO6" s="17"/>
      <c r="AP6" s="15">
        <v>2012.8607999999999</v>
      </c>
      <c r="AQ6" s="15">
        <v>2199.5358059158325</v>
      </c>
      <c r="AR6" s="14">
        <v>-8.4870182796640492E-2</v>
      </c>
      <c r="AS6" s="15">
        <v>-186.67500591583257</v>
      </c>
      <c r="AT6" s="16"/>
      <c r="AU6" s="14"/>
      <c r="AV6" s="14"/>
      <c r="AW6" s="17"/>
      <c r="AX6" s="15">
        <v>1496.3279999999997</v>
      </c>
      <c r="AY6" s="15">
        <v>1816.6458047561646</v>
      </c>
      <c r="AZ6" s="14">
        <v>-0.17632375222376306</v>
      </c>
      <c r="BA6" s="15">
        <v>-320.31780475616483</v>
      </c>
      <c r="BB6" s="16"/>
      <c r="BC6" s="14"/>
      <c r="BD6" s="14"/>
      <c r="BE6" s="17"/>
      <c r="BF6" s="15">
        <v>668.66160028076172</v>
      </c>
      <c r="BG6" s="15">
        <v>1044.4559972381592</v>
      </c>
      <c r="BH6" s="14">
        <v>-0.35979916621773012</v>
      </c>
      <c r="BI6" s="15">
        <v>-375.79439695739745</v>
      </c>
      <c r="BJ6" s="16">
        <v>-9.1889052847460184E-2</v>
      </c>
      <c r="BK6" s="14">
        <v>1.2109279789667431</v>
      </c>
      <c r="BL6" s="14">
        <v>4.0744869083103721</v>
      </c>
      <c r="BM6" s="17">
        <v>4.2999999999999997E-2</v>
      </c>
      <c r="BN6" s="15">
        <v>582.99479778289799</v>
      </c>
      <c r="BO6" s="15">
        <v>1247.8871927490234</v>
      </c>
      <c r="BP6" s="14">
        <v>-0.53281450344995196</v>
      </c>
      <c r="BQ6" s="15">
        <v>-664.89239496612538</v>
      </c>
      <c r="BR6" s="16">
        <v>-0.25451833827194426</v>
      </c>
      <c r="BS6" s="14">
        <v>0.36582978847616676</v>
      </c>
      <c r="BT6" s="14">
        <v>1.8480469230584617</v>
      </c>
      <c r="BU6" s="17">
        <v>2.6949999999999998</v>
      </c>
      <c r="BV6" s="15">
        <v>1052.6598228527325</v>
      </c>
      <c r="BW6" s="15">
        <v>1644.3864089889526</v>
      </c>
      <c r="BX6" s="14">
        <v>-0.35984643445213216</v>
      </c>
      <c r="BY6" s="15">
        <v>-591.72658613622002</v>
      </c>
      <c r="BZ6" s="16"/>
      <c r="CA6" s="14"/>
      <c r="CB6" s="14"/>
      <c r="CC6" s="17"/>
      <c r="CD6" s="15">
        <v>803.36400000000003</v>
      </c>
      <c r="CE6" s="15">
        <v>917.42100063323971</v>
      </c>
      <c r="CF6" s="14">
        <v>-0.12432351183863577</v>
      </c>
      <c r="CG6" s="15">
        <v>-114.05700063323968</v>
      </c>
      <c r="CH6" s="16"/>
      <c r="CI6" s="14"/>
      <c r="CJ6" s="14"/>
      <c r="CK6" s="17"/>
      <c r="CL6" s="15">
        <v>527.54160000000002</v>
      </c>
      <c r="CM6" s="15">
        <v>493.61099266052247</v>
      </c>
      <c r="CN6" s="14">
        <v>6.8739569912319665E-2</v>
      </c>
      <c r="CO6" s="15">
        <v>33.930607339477547</v>
      </c>
      <c r="CP6" s="16"/>
      <c r="CQ6" s="14"/>
      <c r="CR6" s="14"/>
      <c r="CS6" s="17"/>
      <c r="CT6" s="15">
        <v>745.17359999999996</v>
      </c>
      <c r="CU6" s="15">
        <v>627.61620030212407</v>
      </c>
      <c r="CV6" s="14">
        <v>0.18730778402674364</v>
      </c>
      <c r="CW6" s="15">
        <v>117.55739969787589</v>
      </c>
      <c r="CX6" s="16"/>
      <c r="CY6" s="14"/>
      <c r="CZ6" s="14"/>
      <c r="DA6" s="17"/>
      <c r="DB6" s="15">
        <v>427.77840000000003</v>
      </c>
      <c r="DC6" s="15">
        <v>495.30360316467284</v>
      </c>
      <c r="DD6" s="14">
        <v>-0.13633093466962487</v>
      </c>
      <c r="DE6" s="15">
        <v>-67.525203164672803</v>
      </c>
      <c r="DF6" s="16"/>
      <c r="DG6" s="14"/>
      <c r="DH6" s="14"/>
      <c r="DI6" s="17"/>
      <c r="DJ6" s="15">
        <v>611.40959999999995</v>
      </c>
      <c r="DK6" s="15">
        <v>479.98980371856692</v>
      </c>
      <c r="DL6" s="14">
        <v>0.27379705831936496</v>
      </c>
      <c r="DM6" s="15">
        <v>131.41979628143304</v>
      </c>
      <c r="DN6" s="16"/>
      <c r="DO6" s="14"/>
      <c r="DP6" s="14"/>
      <c r="DQ6" s="17"/>
      <c r="DR6" s="15">
        <v>973.67279999999994</v>
      </c>
      <c r="DS6" s="15">
        <v>1224.2423990325929</v>
      </c>
      <c r="DT6" s="14">
        <v>-0.20467319154327224</v>
      </c>
      <c r="DU6" s="15">
        <v>-250.56959903259292</v>
      </c>
      <c r="DV6" s="16"/>
      <c r="DW6" s="14"/>
      <c r="DX6" s="14"/>
      <c r="DY6" s="17"/>
      <c r="DZ6" s="15">
        <v>360.95519999999993</v>
      </c>
      <c r="EA6" s="15">
        <v>322.06380111694335</v>
      </c>
      <c r="EB6" s="14">
        <v>0.12075681510364733</v>
      </c>
      <c r="EC6" s="15">
        <v>38.891398883056581</v>
      </c>
      <c r="ED6" s="16"/>
      <c r="EE6" s="14"/>
      <c r="EF6" s="14"/>
      <c r="EG6" s="17"/>
      <c r="EH6" s="15">
        <v>454.1352</v>
      </c>
      <c r="EI6" s="15">
        <v>754.69920486450201</v>
      </c>
      <c r="EJ6" s="14">
        <v>-0.39825668680605675</v>
      </c>
      <c r="EK6" s="15">
        <v>-300.56400486450201</v>
      </c>
      <c r="EL6" s="16"/>
      <c r="EM6" s="14"/>
      <c r="EN6" s="14"/>
      <c r="EO6" s="17"/>
      <c r="EP6" s="15">
        <v>681.23759999999993</v>
      </c>
      <c r="EQ6" s="15">
        <v>739.88279877471928</v>
      </c>
      <c r="ER6" s="14">
        <v>-7.9262822262983534E-2</v>
      </c>
      <c r="ES6" s="15">
        <v>-58.645198774719347</v>
      </c>
      <c r="ET6" s="16"/>
      <c r="EU6" s="14"/>
      <c r="EV6" s="14"/>
      <c r="EW6" s="17"/>
    </row>
    <row r="7" spans="1:153" x14ac:dyDescent="0.35">
      <c r="A7" s="7" t="s">
        <v>23</v>
      </c>
      <c r="B7" s="15">
        <v>7601.2949702041624</v>
      </c>
      <c r="C7" s="15">
        <v>5986.869011148453</v>
      </c>
      <c r="D7" s="14">
        <v>0.26966114609312575</v>
      </c>
      <c r="E7" s="15">
        <v>1614.4259590557094</v>
      </c>
      <c r="F7" s="16">
        <v>9.107643392042819E-2</v>
      </c>
      <c r="G7" s="14">
        <v>0.68437227854764893</v>
      </c>
      <c r="H7" s="14">
        <v>0.13871824746287387</v>
      </c>
      <c r="I7" s="17"/>
      <c r="J7" s="15">
        <v>5383.7669702041621</v>
      </c>
      <c r="K7" s="15">
        <v>3764.5638041782377</v>
      </c>
      <c r="L7" s="14">
        <v>0.4301170733854458</v>
      </c>
      <c r="M7" s="15">
        <v>1619.2031660259245</v>
      </c>
      <c r="N7" s="16">
        <v>9.107643392042819E-2</v>
      </c>
      <c r="O7" s="14">
        <v>0.68437227854764893</v>
      </c>
      <c r="P7" s="14">
        <v>0.13871824746287387</v>
      </c>
      <c r="Q7" s="17"/>
      <c r="R7" s="15">
        <v>2217.5280000000002</v>
      </c>
      <c r="S7" s="15">
        <v>2222.3052069702148</v>
      </c>
      <c r="T7" s="14">
        <v>-2.1496628614429136E-3</v>
      </c>
      <c r="U7" s="15">
        <v>-4.7772069702145927</v>
      </c>
      <c r="V7" s="16"/>
      <c r="W7" s="14"/>
      <c r="X7" s="14"/>
      <c r="Y7" s="17"/>
      <c r="Z7" s="15">
        <v>3725.7533702041624</v>
      </c>
      <c r="AA7" s="15">
        <v>2367.2442000827787</v>
      </c>
      <c r="AB7" s="14">
        <v>0.57387791680886946</v>
      </c>
      <c r="AC7" s="15">
        <v>1358.5091701213837</v>
      </c>
      <c r="AD7" s="16">
        <v>9.107643392042819E-2</v>
      </c>
      <c r="AE7" s="14">
        <v>0.68437227854764893</v>
      </c>
      <c r="AF7" s="14">
        <v>0.13871824746287387</v>
      </c>
      <c r="AG7" s="17"/>
      <c r="AH7" s="15">
        <v>1658.0136</v>
      </c>
      <c r="AI7" s="15">
        <v>1397.319604095459</v>
      </c>
      <c r="AJ7" s="14">
        <v>0.1865671927456416</v>
      </c>
      <c r="AK7" s="15">
        <v>260.693995904541</v>
      </c>
      <c r="AL7" s="16"/>
      <c r="AM7" s="14"/>
      <c r="AN7" s="14"/>
      <c r="AO7" s="17"/>
      <c r="AP7" s="15">
        <v>1167.3072</v>
      </c>
      <c r="AQ7" s="15">
        <v>1057.4766038970947</v>
      </c>
      <c r="AR7" s="14">
        <v>0.1038610175375505</v>
      </c>
      <c r="AS7" s="15">
        <v>109.83059610290525</v>
      </c>
      <c r="AT7" s="16"/>
      <c r="AU7" s="14"/>
      <c r="AV7" s="14"/>
      <c r="AW7" s="17"/>
      <c r="AX7" s="15">
        <v>1050.2208000000001</v>
      </c>
      <c r="AY7" s="15">
        <v>1164.8286030731201</v>
      </c>
      <c r="AZ7" s="14">
        <v>-9.8390271985728139E-2</v>
      </c>
      <c r="BA7" s="15">
        <v>-114.60780307312007</v>
      </c>
      <c r="BB7" s="16"/>
      <c r="BC7" s="14"/>
      <c r="BD7" s="14"/>
      <c r="BE7" s="17"/>
      <c r="BF7" s="15">
        <v>2562.2081727294922</v>
      </c>
      <c r="BG7" s="15">
        <v>849.31379778480527</v>
      </c>
      <c r="BH7" s="14">
        <v>2.0167980072998781</v>
      </c>
      <c r="BI7" s="15">
        <v>1712.8943749446869</v>
      </c>
      <c r="BJ7" s="16">
        <v>0.44960984723595998</v>
      </c>
      <c r="BK7" s="14">
        <v>0.50550269004271842</v>
      </c>
      <c r="BL7" s="14">
        <v>0.20460613414759554</v>
      </c>
      <c r="BM7" s="17"/>
      <c r="BN7" s="15">
        <v>534.18359934234616</v>
      </c>
      <c r="BO7" s="15">
        <v>446.68560239410402</v>
      </c>
      <c r="BP7" s="14">
        <v>0.19588273380489207</v>
      </c>
      <c r="BQ7" s="15">
        <v>87.497996948242132</v>
      </c>
      <c r="BR7" s="16">
        <v>-0.12928938124831124</v>
      </c>
      <c r="BS7" s="14">
        <v>0.68437227854764893</v>
      </c>
      <c r="BT7" s="14">
        <v>0.13871824746287387</v>
      </c>
      <c r="BU7" s="17"/>
      <c r="BV7" s="15">
        <v>629.36159813232416</v>
      </c>
      <c r="BW7" s="15">
        <v>1071.2447999038695</v>
      </c>
      <c r="BX7" s="14">
        <v>-0.41249507284534659</v>
      </c>
      <c r="BY7" s="15">
        <v>-441.88320177154537</v>
      </c>
      <c r="BZ7" s="16"/>
      <c r="CA7" s="14"/>
      <c r="CB7" s="14"/>
      <c r="CC7" s="17"/>
      <c r="CD7" s="15">
        <v>949.77</v>
      </c>
      <c r="CE7" s="15">
        <v>846.3888055725098</v>
      </c>
      <c r="CF7" s="14">
        <v>0.12214385840980224</v>
      </c>
      <c r="CG7" s="15">
        <v>103.38119442749019</v>
      </c>
      <c r="CH7" s="16"/>
      <c r="CI7" s="14"/>
      <c r="CJ7" s="14"/>
      <c r="CK7" s="17"/>
      <c r="CL7" s="15">
        <v>371.0376</v>
      </c>
      <c r="CM7" s="15">
        <v>229.95119931030274</v>
      </c>
      <c r="CN7" s="14">
        <v>0.61354931443219485</v>
      </c>
      <c r="CO7" s="15">
        <v>141.08640068969726</v>
      </c>
      <c r="CP7" s="16"/>
      <c r="CQ7" s="14"/>
      <c r="CR7" s="14"/>
      <c r="CS7" s="17"/>
      <c r="CT7" s="15">
        <v>337.20599999999996</v>
      </c>
      <c r="CU7" s="15">
        <v>320.97959921264646</v>
      </c>
      <c r="CV7" s="14">
        <v>5.0552747985094459E-2</v>
      </c>
      <c r="CW7" s="15">
        <v>16.226400787353498</v>
      </c>
      <c r="CX7" s="16"/>
      <c r="CY7" s="14"/>
      <c r="CZ7" s="14"/>
      <c r="DA7" s="17"/>
      <c r="DB7" s="15">
        <v>268.14959999999996</v>
      </c>
      <c r="DC7" s="15">
        <v>210.95820101928712</v>
      </c>
      <c r="DD7" s="14">
        <v>0.2711029896177588</v>
      </c>
      <c r="DE7" s="15">
        <v>57.191398980712847</v>
      </c>
      <c r="DF7" s="16"/>
      <c r="DG7" s="14"/>
      <c r="DH7" s="14"/>
      <c r="DI7" s="17"/>
      <c r="DJ7" s="15">
        <v>480.62880000000001</v>
      </c>
      <c r="DK7" s="15">
        <v>399.40620268249512</v>
      </c>
      <c r="DL7" s="14">
        <v>0.20335837744130436</v>
      </c>
      <c r="DM7" s="15">
        <v>81.222597317504892</v>
      </c>
      <c r="DN7" s="16"/>
      <c r="DO7" s="14"/>
      <c r="DP7" s="14"/>
      <c r="DQ7" s="17"/>
      <c r="DR7" s="15">
        <v>418.52879999999999</v>
      </c>
      <c r="DS7" s="15">
        <v>447.11220019531248</v>
      </c>
      <c r="DT7" s="14">
        <v>-6.3928920263921163E-2</v>
      </c>
      <c r="DU7" s="15">
        <v>-28.583400195312493</v>
      </c>
      <c r="DV7" s="16"/>
      <c r="DW7" s="14"/>
      <c r="DX7" s="14"/>
      <c r="DY7" s="17"/>
      <c r="DZ7" s="15">
        <v>287.988</v>
      </c>
      <c r="EA7" s="15">
        <v>351.17399514770506</v>
      </c>
      <c r="EB7" s="14">
        <v>-0.17992788765901868</v>
      </c>
      <c r="EC7" s="15">
        <v>-63.185995147705057</v>
      </c>
      <c r="ED7" s="16"/>
      <c r="EE7" s="14"/>
      <c r="EF7" s="14"/>
      <c r="EG7" s="17"/>
      <c r="EH7" s="15">
        <v>506.12160000000006</v>
      </c>
      <c r="EI7" s="15">
        <v>577.06200781250004</v>
      </c>
      <c r="EJ7" s="14">
        <v>-0.12293376942526091</v>
      </c>
      <c r="EK7" s="15">
        <v>-70.940407812499984</v>
      </c>
      <c r="EL7" s="16"/>
      <c r="EM7" s="14"/>
      <c r="EN7" s="14"/>
      <c r="EO7" s="17"/>
      <c r="EP7" s="15">
        <v>256.1112</v>
      </c>
      <c r="EQ7" s="15">
        <v>236.59260011291505</v>
      </c>
      <c r="ER7" s="14">
        <v>8.2498775860992746E-2</v>
      </c>
      <c r="ES7" s="15">
        <v>19.518599887084946</v>
      </c>
      <c r="ET7" s="16"/>
      <c r="EU7" s="14"/>
      <c r="EV7" s="14"/>
      <c r="EW7" s="17"/>
    </row>
    <row r="8" spans="1:153" x14ac:dyDescent="0.35">
      <c r="A8" s="7" t="s">
        <v>27</v>
      </c>
      <c r="B8" s="15">
        <v>5050.9718817043404</v>
      </c>
      <c r="C8" s="15">
        <v>1099.8804007263184</v>
      </c>
      <c r="D8" s="14">
        <v>3.5922919240754485</v>
      </c>
      <c r="E8" s="15">
        <v>3951.091480978022</v>
      </c>
      <c r="F8" s="16">
        <v>-7.0391277078207137E-2</v>
      </c>
      <c r="G8" s="14"/>
      <c r="H8" s="14"/>
      <c r="I8" s="17"/>
      <c r="J8" s="15">
        <v>2581.2554817043406</v>
      </c>
      <c r="K8" s="15"/>
      <c r="L8" s="14"/>
      <c r="M8" s="15">
        <v>2581.2554817043406</v>
      </c>
      <c r="N8" s="16">
        <v>-7.0391277078207137E-2</v>
      </c>
      <c r="O8" s="14"/>
      <c r="P8" s="14"/>
      <c r="Q8" s="17"/>
      <c r="R8" s="15">
        <v>2469.7163999999998</v>
      </c>
      <c r="S8" s="15">
        <v>1099.8804007263184</v>
      </c>
      <c r="T8" s="14">
        <v>1.2454408664515664</v>
      </c>
      <c r="U8" s="15">
        <v>1369.8359992736814</v>
      </c>
      <c r="V8" s="16"/>
      <c r="W8" s="14"/>
      <c r="X8" s="14"/>
      <c r="Y8" s="17"/>
      <c r="Z8" s="15">
        <v>1149.5672817043412</v>
      </c>
      <c r="AA8" s="15"/>
      <c r="AB8" s="14"/>
      <c r="AC8" s="15">
        <v>1149.5672817043412</v>
      </c>
      <c r="AD8" s="16">
        <v>-7.0391277078207137E-2</v>
      </c>
      <c r="AE8" s="14"/>
      <c r="AF8" s="14"/>
      <c r="AG8" s="17"/>
      <c r="AH8" s="15">
        <v>1431.6881999999998</v>
      </c>
      <c r="AI8" s="15"/>
      <c r="AJ8" s="14"/>
      <c r="AK8" s="15">
        <v>1431.6881999999998</v>
      </c>
      <c r="AL8" s="16"/>
      <c r="AM8" s="14"/>
      <c r="AN8" s="14"/>
      <c r="AO8" s="17"/>
      <c r="AP8" s="15">
        <v>1357.3806</v>
      </c>
      <c r="AQ8" s="15"/>
      <c r="AR8" s="14"/>
      <c r="AS8" s="15">
        <v>1357.3806</v>
      </c>
      <c r="AT8" s="16"/>
      <c r="AU8" s="14"/>
      <c r="AV8" s="14"/>
      <c r="AW8" s="17"/>
      <c r="AX8" s="15">
        <v>1112.3358000000001</v>
      </c>
      <c r="AY8" s="15">
        <v>1099.8804007263184</v>
      </c>
      <c r="AZ8" s="14">
        <v>1.1324321503916712E-2</v>
      </c>
      <c r="BA8" s="15">
        <v>12.455399273681678</v>
      </c>
      <c r="BB8" s="16"/>
      <c r="BC8" s="14"/>
      <c r="BD8" s="14"/>
      <c r="BE8" s="17"/>
      <c r="BF8" s="15">
        <v>315.00539794921878</v>
      </c>
      <c r="BG8" s="15"/>
      <c r="BH8" s="14"/>
      <c r="BI8" s="15">
        <v>315.00539794921878</v>
      </c>
      <c r="BJ8" s="16">
        <v>3.0382425555499415E-2</v>
      </c>
      <c r="BK8" s="14"/>
      <c r="BL8" s="14"/>
      <c r="BM8" s="17"/>
      <c r="BN8" s="15">
        <v>386.67239987182614</v>
      </c>
      <c r="BO8" s="15"/>
      <c r="BP8" s="14"/>
      <c r="BQ8" s="15">
        <v>386.67239987182614</v>
      </c>
      <c r="BR8" s="16">
        <v>-0.16295644929883835</v>
      </c>
      <c r="BS8" s="14"/>
      <c r="BT8" s="14"/>
      <c r="BU8" s="17"/>
      <c r="BV8" s="15">
        <v>447.88948388329618</v>
      </c>
      <c r="BW8" s="15"/>
      <c r="BX8" s="14"/>
      <c r="BY8" s="15">
        <v>447.88948388329618</v>
      </c>
      <c r="BZ8" s="16"/>
      <c r="CA8" s="14"/>
      <c r="CB8" s="14"/>
      <c r="CC8" s="17"/>
      <c r="CD8" s="15">
        <v>458.28179999999992</v>
      </c>
      <c r="CE8" s="15"/>
      <c r="CF8" s="14"/>
      <c r="CG8" s="15">
        <v>458.28179999999992</v>
      </c>
      <c r="CH8" s="16"/>
      <c r="CI8" s="14"/>
      <c r="CJ8" s="14"/>
      <c r="CK8" s="17"/>
      <c r="CL8" s="15">
        <v>537.59280000000001</v>
      </c>
      <c r="CM8" s="15"/>
      <c r="CN8" s="14"/>
      <c r="CO8" s="15">
        <v>537.59280000000001</v>
      </c>
      <c r="CP8" s="16"/>
      <c r="CQ8" s="14"/>
      <c r="CR8" s="14"/>
      <c r="CS8" s="17"/>
      <c r="CT8" s="15">
        <v>435.81359999999995</v>
      </c>
      <c r="CU8" s="15"/>
      <c r="CV8" s="14"/>
      <c r="CW8" s="15">
        <v>435.81359999999995</v>
      </c>
      <c r="CX8" s="16"/>
      <c r="CY8" s="14"/>
      <c r="CZ8" s="14"/>
      <c r="DA8" s="17"/>
      <c r="DB8" s="15">
        <v>464.99699999999996</v>
      </c>
      <c r="DC8" s="15"/>
      <c r="DD8" s="14"/>
      <c r="DE8" s="15">
        <v>464.99699999999996</v>
      </c>
      <c r="DF8" s="16"/>
      <c r="DG8" s="14"/>
      <c r="DH8" s="14"/>
      <c r="DI8" s="17"/>
      <c r="DJ8" s="15">
        <v>457.7568</v>
      </c>
      <c r="DK8" s="15"/>
      <c r="DL8" s="14"/>
      <c r="DM8" s="15">
        <v>457.7568</v>
      </c>
      <c r="DN8" s="16"/>
      <c r="DO8" s="14"/>
      <c r="DP8" s="14"/>
      <c r="DQ8" s="17"/>
      <c r="DR8" s="15">
        <v>434.62679999999995</v>
      </c>
      <c r="DS8" s="15"/>
      <c r="DT8" s="14"/>
      <c r="DU8" s="15">
        <v>434.62679999999995</v>
      </c>
      <c r="DV8" s="16"/>
      <c r="DW8" s="14"/>
      <c r="DX8" s="14"/>
      <c r="DY8" s="17"/>
      <c r="DZ8" s="15">
        <v>444.57419999999996</v>
      </c>
      <c r="EA8" s="15"/>
      <c r="EB8" s="14"/>
      <c r="EC8" s="15">
        <v>444.57419999999996</v>
      </c>
      <c r="ED8" s="16"/>
      <c r="EE8" s="14"/>
      <c r="EF8" s="14"/>
      <c r="EG8" s="17"/>
      <c r="EH8" s="15">
        <v>263.20800000000003</v>
      </c>
      <c r="EI8" s="15">
        <v>646.74299957275389</v>
      </c>
      <c r="EJ8" s="14">
        <v>-0.59302535910882936</v>
      </c>
      <c r="EK8" s="15">
        <v>-383.53499957275386</v>
      </c>
      <c r="EL8" s="16"/>
      <c r="EM8" s="14"/>
      <c r="EN8" s="14"/>
      <c r="EO8" s="17"/>
      <c r="EP8" s="15">
        <v>404.55360000000002</v>
      </c>
      <c r="EQ8" s="15">
        <v>453.13740115356444</v>
      </c>
      <c r="ER8" s="14">
        <v>-0.10721648892782476</v>
      </c>
      <c r="ES8" s="15">
        <v>-48.583801153564423</v>
      </c>
      <c r="ET8" s="16"/>
      <c r="EU8" s="14"/>
      <c r="EV8" s="14"/>
      <c r="EW8" s="17"/>
    </row>
    <row r="9" spans="1:153" x14ac:dyDescent="0.35">
      <c r="A9" s="7" t="s">
        <v>28</v>
      </c>
      <c r="B9" s="15">
        <v>3053.2086330737675</v>
      </c>
      <c r="C9" s="15">
        <v>5295.474593612671</v>
      </c>
      <c r="D9" s="14">
        <v>-0.42343059548307416</v>
      </c>
      <c r="E9" s="15">
        <v>-2242.2659605389035</v>
      </c>
      <c r="F9" s="16">
        <v>-0.12847115411504795</v>
      </c>
      <c r="G9" s="14">
        <v>-0.43231377591934939</v>
      </c>
      <c r="H9" s="14">
        <v>3.9795525035672741E-2</v>
      </c>
      <c r="I9" s="17"/>
      <c r="J9" s="15">
        <v>2066.5830330737676</v>
      </c>
      <c r="K9" s="15">
        <v>4257.0269949493413</v>
      </c>
      <c r="L9" s="14">
        <v>-0.51454782045647796</v>
      </c>
      <c r="M9" s="15">
        <v>-2190.4439618755737</v>
      </c>
      <c r="N9" s="16">
        <v>-0.12847115411504795</v>
      </c>
      <c r="O9" s="14">
        <v>-0.43231377591934939</v>
      </c>
      <c r="P9" s="14">
        <v>3.9795525035672741E-2</v>
      </c>
      <c r="Q9" s="17"/>
      <c r="R9" s="15">
        <v>986.62559999999996</v>
      </c>
      <c r="S9" s="15">
        <v>1038.4475986633302</v>
      </c>
      <c r="T9" s="14">
        <v>-4.9903335257392323E-2</v>
      </c>
      <c r="U9" s="15">
        <v>-51.821998663330191</v>
      </c>
      <c r="V9" s="16"/>
      <c r="W9" s="14"/>
      <c r="X9" s="14"/>
      <c r="Y9" s="17"/>
      <c r="Z9" s="15">
        <v>1221.6138330737676</v>
      </c>
      <c r="AA9" s="15">
        <v>2204.2158044357298</v>
      </c>
      <c r="AB9" s="14">
        <v>-0.44578301697346934</v>
      </c>
      <c r="AC9" s="15">
        <v>-982.60197136196211</v>
      </c>
      <c r="AD9" s="16">
        <v>-0.12847115411504795</v>
      </c>
      <c r="AE9" s="14">
        <v>-0.43231377591934939</v>
      </c>
      <c r="AF9" s="14">
        <v>3.9795525035672741E-2</v>
      </c>
      <c r="AG9" s="17"/>
      <c r="AH9" s="15">
        <v>844.9692</v>
      </c>
      <c r="AI9" s="15">
        <v>2052.8111905136107</v>
      </c>
      <c r="AJ9" s="14">
        <v>-0.58838435609434214</v>
      </c>
      <c r="AK9" s="15">
        <v>-1207.8419905136107</v>
      </c>
      <c r="AL9" s="16"/>
      <c r="AM9" s="14"/>
      <c r="AN9" s="14"/>
      <c r="AO9" s="17"/>
      <c r="AP9" s="15">
        <v>580.88639999999998</v>
      </c>
      <c r="AQ9" s="15">
        <v>583.71779870605462</v>
      </c>
      <c r="AR9" s="14">
        <v>-4.8506293834643666E-3</v>
      </c>
      <c r="AS9" s="15">
        <v>-2.8313987060546424</v>
      </c>
      <c r="AT9" s="16"/>
      <c r="AU9" s="14"/>
      <c r="AV9" s="14"/>
      <c r="AW9" s="17"/>
      <c r="AX9" s="15">
        <v>405.73919999999998</v>
      </c>
      <c r="AY9" s="15">
        <v>454.72979995727542</v>
      </c>
      <c r="AZ9" s="14">
        <v>-0.10773562665538616</v>
      </c>
      <c r="BA9" s="15">
        <v>-48.990599957275435</v>
      </c>
      <c r="BB9" s="16"/>
      <c r="BC9" s="14"/>
      <c r="BD9" s="14"/>
      <c r="BE9" s="17"/>
      <c r="BF9" s="15">
        <v>467.98560016632081</v>
      </c>
      <c r="BG9" s="15">
        <v>331.3698006134033</v>
      </c>
      <c r="BH9" s="14">
        <v>0.41227595061476952</v>
      </c>
      <c r="BI9" s="15">
        <v>136.61579955291751</v>
      </c>
      <c r="BJ9" s="16">
        <v>-7.2385242907585412E-2</v>
      </c>
      <c r="BK9" s="14">
        <v>-0.44737005574744204</v>
      </c>
      <c r="BL9" s="14">
        <v>0.25294401323549809</v>
      </c>
      <c r="BM9" s="17"/>
      <c r="BN9" s="15">
        <v>176.80139929962158</v>
      </c>
      <c r="BO9" s="15">
        <v>539.71019482421877</v>
      </c>
      <c r="BP9" s="14">
        <v>-0.67241419377448475</v>
      </c>
      <c r="BQ9" s="15">
        <v>-362.90879552459717</v>
      </c>
      <c r="BR9" s="16">
        <v>-0.17612372627114248</v>
      </c>
      <c r="BS9" s="14">
        <v>-0.43231377591934939</v>
      </c>
      <c r="BT9" s="14">
        <v>3.9795525035672741E-2</v>
      </c>
      <c r="BU9" s="17"/>
      <c r="BV9" s="15">
        <v>576.82683360782528</v>
      </c>
      <c r="BW9" s="15">
        <v>1333.1358089981079</v>
      </c>
      <c r="BX9" s="14">
        <v>-0.56731577554628276</v>
      </c>
      <c r="BY9" s="15">
        <v>-756.30897539028263</v>
      </c>
      <c r="BZ9" s="16"/>
      <c r="CA9" s="14"/>
      <c r="CB9" s="14"/>
      <c r="CC9" s="17"/>
      <c r="CD9" s="15">
        <v>314.36520000000002</v>
      </c>
      <c r="CE9" s="15">
        <v>1326.0725912246703</v>
      </c>
      <c r="CF9" s="14">
        <v>-0.76293514994554434</v>
      </c>
      <c r="CG9" s="15">
        <v>-1011.7073912246703</v>
      </c>
      <c r="CH9" s="16"/>
      <c r="CI9" s="14"/>
      <c r="CJ9" s="14"/>
      <c r="CK9" s="17"/>
      <c r="CL9" s="15">
        <v>220.13279999999997</v>
      </c>
      <c r="CM9" s="15">
        <v>292.16579947662353</v>
      </c>
      <c r="CN9" s="14">
        <v>-0.24654836262718349</v>
      </c>
      <c r="CO9" s="15">
        <v>-72.032999476623559</v>
      </c>
      <c r="CP9" s="16"/>
      <c r="CQ9" s="14"/>
      <c r="CR9" s="14"/>
      <c r="CS9" s="17"/>
      <c r="CT9" s="15">
        <v>310.47120000000001</v>
      </c>
      <c r="CU9" s="15">
        <v>434.57279981231687</v>
      </c>
      <c r="CV9" s="14">
        <v>-0.28557148506743602</v>
      </c>
      <c r="CW9" s="15">
        <v>-124.10159981231686</v>
      </c>
      <c r="CX9" s="16"/>
      <c r="CY9" s="14"/>
      <c r="CZ9" s="14"/>
      <c r="DA9" s="17"/>
      <c r="DB9" s="15">
        <v>221.72759999999997</v>
      </c>
      <c r="DC9" s="15">
        <v>226.38839792633055</v>
      </c>
      <c r="DD9" s="14">
        <v>-2.0587618310048184E-2</v>
      </c>
      <c r="DE9" s="15">
        <v>-4.6607979263305879</v>
      </c>
      <c r="DF9" s="16"/>
      <c r="DG9" s="14"/>
      <c r="DH9" s="14"/>
      <c r="DI9" s="17"/>
      <c r="DJ9" s="15">
        <v>143.61120000000003</v>
      </c>
      <c r="DK9" s="15">
        <v>119.9070002746582</v>
      </c>
      <c r="DL9" s="14">
        <v>0.19768820561806355</v>
      </c>
      <c r="DM9" s="15">
        <v>23.704199725341823</v>
      </c>
      <c r="DN9" s="16"/>
      <c r="DO9" s="14"/>
      <c r="DP9" s="14"/>
      <c r="DQ9" s="17"/>
      <c r="DR9" s="15">
        <v>215.54760000000002</v>
      </c>
      <c r="DS9" s="15">
        <v>237.42240050506592</v>
      </c>
      <c r="DT9" s="14">
        <v>-9.2134526727604027E-2</v>
      </c>
      <c r="DU9" s="15">
        <v>-21.874800505065906</v>
      </c>
      <c r="DV9" s="16"/>
      <c r="DW9" s="14"/>
      <c r="DX9" s="14"/>
      <c r="DY9" s="17"/>
      <c r="DZ9" s="15">
        <v>106.79279999999999</v>
      </c>
      <c r="EA9" s="15">
        <v>119.53020010375977</v>
      </c>
      <c r="EB9" s="14">
        <v>-0.10656219175323822</v>
      </c>
      <c r="EC9" s="15">
        <v>-12.737400103759782</v>
      </c>
      <c r="ED9" s="16"/>
      <c r="EE9" s="14"/>
      <c r="EF9" s="14"/>
      <c r="EG9" s="17"/>
      <c r="EH9" s="15">
        <v>164.52</v>
      </c>
      <c r="EI9" s="15">
        <v>165.77760023498536</v>
      </c>
      <c r="EJ9" s="14">
        <v>-7.5860685231462499E-3</v>
      </c>
      <c r="EK9" s="15">
        <v>-1.2576002349853468</v>
      </c>
      <c r="EL9" s="16"/>
      <c r="EM9" s="14"/>
      <c r="EN9" s="14"/>
      <c r="EO9" s="17"/>
      <c r="EP9" s="15">
        <v>134.4264</v>
      </c>
      <c r="EQ9" s="15">
        <v>169.42199961853026</v>
      </c>
      <c r="ER9" s="14">
        <v>-0.20655876862111289</v>
      </c>
      <c r="ES9" s="15">
        <v>-34.995599618530264</v>
      </c>
      <c r="ET9" s="16"/>
      <c r="EU9" s="14"/>
      <c r="EV9" s="14"/>
      <c r="EW9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1390-0B64-4659-BBC3-59ECF02A5D2F}">
  <dimension ref="A1:AE21"/>
  <sheetViews>
    <sheetView topLeftCell="G1" workbookViewId="0">
      <selection activeCell="D11" sqref="D11:AB11"/>
    </sheetView>
  </sheetViews>
  <sheetFormatPr defaultColWidth="8.54296875" defaultRowHeight="14.5" x14ac:dyDescent="0.35"/>
  <cols>
    <col min="1" max="1" width="11.54296875" bestFit="1" customWidth="1"/>
    <col min="2" max="2" width="6.7265625" bestFit="1" customWidth="1"/>
    <col min="3" max="3" width="24.6328125" bestFit="1" customWidth="1"/>
    <col min="4" max="4" width="34.453125" customWidth="1"/>
    <col min="5" max="5" width="9.90625" bestFit="1" customWidth="1"/>
    <col min="6" max="6" width="11.453125" bestFit="1" customWidth="1"/>
    <col min="7" max="7" width="5.81640625" bestFit="1" customWidth="1"/>
    <col min="8" max="8" width="10.90625" bestFit="1" customWidth="1"/>
    <col min="9" max="9" width="11.453125" bestFit="1" customWidth="1"/>
    <col min="10" max="10" width="6.36328125" bestFit="1" customWidth="1"/>
    <col min="11" max="11" width="10.90625" bestFit="1" customWidth="1"/>
    <col min="12" max="12" width="12.7265625" bestFit="1" customWidth="1"/>
    <col min="13" max="13" width="6.36328125" bestFit="1" customWidth="1"/>
    <col min="14" max="14" width="10.90625" bestFit="1" customWidth="1"/>
    <col min="15" max="15" width="12.7265625" bestFit="1" customWidth="1"/>
    <col min="16" max="16" width="6.36328125" bestFit="1" customWidth="1"/>
    <col min="17" max="17" width="10.90625" bestFit="1" customWidth="1"/>
    <col min="18" max="18" width="12.7265625" bestFit="1" customWidth="1"/>
    <col min="19" max="19" width="6" bestFit="1" customWidth="1"/>
    <col min="20" max="20" width="10.90625" bestFit="1" customWidth="1"/>
    <col min="21" max="21" width="11.453125" bestFit="1" customWidth="1"/>
    <col min="22" max="22" width="6" bestFit="1" customWidth="1"/>
    <col min="23" max="23" width="10.90625" bestFit="1" customWidth="1"/>
    <col min="24" max="24" width="12.7265625" bestFit="1" customWidth="1"/>
    <col min="25" max="25" width="6.36328125" bestFit="1" customWidth="1"/>
    <col min="26" max="26" width="10.90625" bestFit="1" customWidth="1"/>
    <col min="27" max="27" width="12.7265625" bestFit="1" customWidth="1"/>
    <col min="28" max="28" width="6.36328125" bestFit="1" customWidth="1"/>
    <col min="29" max="29" width="11.90625" bestFit="1" customWidth="1"/>
    <col min="30" max="30" width="13.81640625" bestFit="1" customWidth="1"/>
    <col min="31" max="31" width="5.81640625" bestFit="1" customWidth="1"/>
  </cols>
  <sheetData>
    <row r="1" spans="1:31" x14ac:dyDescent="0.35">
      <c r="A1" s="4" t="s">
        <v>3</v>
      </c>
      <c r="E1" s="4" t="s">
        <v>4</v>
      </c>
      <c r="F1" s="4" t="s">
        <v>4</v>
      </c>
      <c r="G1" s="4" t="s">
        <v>4</v>
      </c>
      <c r="H1" s="4" t="s">
        <v>5</v>
      </c>
      <c r="I1" s="4" t="s">
        <v>5</v>
      </c>
      <c r="J1" s="4" t="s">
        <v>5</v>
      </c>
      <c r="K1" s="4" t="s">
        <v>6</v>
      </c>
      <c r="L1" s="4" t="s">
        <v>6</v>
      </c>
      <c r="M1" s="4" t="s">
        <v>6</v>
      </c>
      <c r="N1" s="4" t="s">
        <v>7</v>
      </c>
      <c r="O1" s="4" t="s">
        <v>7</v>
      </c>
      <c r="P1" s="4" t="s">
        <v>7</v>
      </c>
      <c r="Q1" s="4" t="s">
        <v>8</v>
      </c>
      <c r="R1" s="4" t="s">
        <v>8</v>
      </c>
      <c r="S1" s="4" t="s">
        <v>8</v>
      </c>
      <c r="T1" s="4" t="s">
        <v>9</v>
      </c>
      <c r="U1" s="4" t="s">
        <v>9</v>
      </c>
      <c r="V1" s="4" t="s">
        <v>9</v>
      </c>
      <c r="W1" s="4" t="s">
        <v>10</v>
      </c>
      <c r="X1" s="4" t="s">
        <v>10</v>
      </c>
      <c r="Y1" s="4" t="s">
        <v>10</v>
      </c>
      <c r="Z1" s="4" t="s">
        <v>11</v>
      </c>
      <c r="AA1" s="4" t="s">
        <v>11</v>
      </c>
      <c r="AB1" s="4" t="s">
        <v>11</v>
      </c>
      <c r="AC1" s="4" t="s">
        <v>12</v>
      </c>
      <c r="AD1" s="4" t="s">
        <v>12</v>
      </c>
      <c r="AE1" s="4" t="s">
        <v>12</v>
      </c>
    </row>
    <row r="2" spans="1:31" x14ac:dyDescent="0.35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17</v>
      </c>
      <c r="I2" s="5" t="s">
        <v>18</v>
      </c>
      <c r="J2" s="5" t="s">
        <v>19</v>
      </c>
      <c r="K2" s="5" t="s">
        <v>17</v>
      </c>
      <c r="L2" s="5" t="s">
        <v>18</v>
      </c>
      <c r="M2" s="5" t="s">
        <v>19</v>
      </c>
      <c r="N2" s="5" t="s">
        <v>17</v>
      </c>
      <c r="O2" s="5" t="s">
        <v>18</v>
      </c>
      <c r="P2" s="5" t="s">
        <v>19</v>
      </c>
      <c r="Q2" s="5" t="s">
        <v>17</v>
      </c>
      <c r="R2" s="5" t="s">
        <v>18</v>
      </c>
      <c r="S2" s="5" t="s">
        <v>19</v>
      </c>
      <c r="T2" s="5" t="s">
        <v>17</v>
      </c>
      <c r="U2" s="5" t="s">
        <v>18</v>
      </c>
      <c r="V2" s="5" t="s">
        <v>19</v>
      </c>
      <c r="W2" s="5" t="s">
        <v>17</v>
      </c>
      <c r="X2" s="5" t="s">
        <v>18</v>
      </c>
      <c r="Y2" s="5" t="s">
        <v>19</v>
      </c>
      <c r="Z2" s="5" t="s">
        <v>17</v>
      </c>
      <c r="AA2" s="5" t="s">
        <v>18</v>
      </c>
      <c r="AB2" s="5" t="s">
        <v>19</v>
      </c>
      <c r="AC2" s="5" t="s">
        <v>17</v>
      </c>
      <c r="AD2" s="5" t="s">
        <v>18</v>
      </c>
      <c r="AE2" s="5" t="s">
        <v>19</v>
      </c>
    </row>
    <row r="3" spans="1:31" x14ac:dyDescent="0.35">
      <c r="A3" s="4" t="s">
        <v>20</v>
      </c>
      <c r="B3" s="6" t="s">
        <v>21</v>
      </c>
      <c r="D3" s="7"/>
      <c r="E3" s="8">
        <v>3518551.9924000013</v>
      </c>
      <c r="F3" s="9">
        <v>1263267.2883000011</v>
      </c>
      <c r="G3" s="10">
        <v>0.56013650338843757</v>
      </c>
      <c r="H3" s="8">
        <v>10662769.525100002</v>
      </c>
      <c r="I3" s="9">
        <v>3763725.9274000051</v>
      </c>
      <c r="J3" s="10">
        <v>0.54554314291545514</v>
      </c>
      <c r="K3" s="8">
        <v>31421041.616799995</v>
      </c>
      <c r="L3" s="9">
        <v>421279.27599999681</v>
      </c>
      <c r="M3" s="10">
        <v>1.3589758249389374E-2</v>
      </c>
      <c r="N3" s="8">
        <v>31421041.616799995</v>
      </c>
      <c r="O3" s="9">
        <v>421279.27599999681</v>
      </c>
      <c r="P3" s="10">
        <v>1.3589758249389374E-2</v>
      </c>
      <c r="Q3" s="8">
        <v>97002593.740499958</v>
      </c>
      <c r="R3" s="9">
        <v>-3284534.4281000197</v>
      </c>
      <c r="S3" s="10">
        <v>-3.2751306055729804E-2</v>
      </c>
      <c r="T3" s="8">
        <v>13126383.504800001</v>
      </c>
      <c r="U3" s="9">
        <v>3510972.4061000012</v>
      </c>
      <c r="V3" s="10">
        <v>0.36514012454180805</v>
      </c>
      <c r="W3" s="8">
        <v>35944201.938599989</v>
      </c>
      <c r="X3" s="9">
        <v>406118.00430001318</v>
      </c>
      <c r="Y3" s="10">
        <v>1.1427684313279588E-2</v>
      </c>
      <c r="Z3" s="8">
        <v>71689573.269299924</v>
      </c>
      <c r="AA3" s="9">
        <v>-2972042.9160000682</v>
      </c>
      <c r="AB3" s="10">
        <v>-3.9806838745947599E-2</v>
      </c>
      <c r="AC3" s="8">
        <v>167303917.21780029</v>
      </c>
      <c r="AD3" s="9">
        <v>-15730538.127999663</v>
      </c>
      <c r="AE3" s="10">
        <v>-8.5943043337280756E-2</v>
      </c>
    </row>
    <row r="4" spans="1:31" x14ac:dyDescent="0.35">
      <c r="A4" s="4" t="s">
        <v>20</v>
      </c>
      <c r="B4" s="4" t="s">
        <v>1</v>
      </c>
      <c r="C4" s="6" t="s">
        <v>21</v>
      </c>
      <c r="D4" s="7"/>
      <c r="E4" s="8">
        <v>3518551.9924000008</v>
      </c>
      <c r="F4" s="9">
        <v>1263267.2883000006</v>
      </c>
      <c r="G4" s="10">
        <v>0.56013650338843735</v>
      </c>
      <c r="H4" s="8">
        <v>10662769.525100002</v>
      </c>
      <c r="I4" s="9">
        <v>3763725.9274000051</v>
      </c>
      <c r="J4" s="10">
        <v>0.54554314291545514</v>
      </c>
      <c r="K4" s="8">
        <v>31421041.616799995</v>
      </c>
      <c r="L4" s="9">
        <v>421279.27600000426</v>
      </c>
      <c r="M4" s="10">
        <v>1.3589758249389617E-2</v>
      </c>
      <c r="N4" s="8">
        <v>31421041.616799995</v>
      </c>
      <c r="O4" s="9">
        <v>421279.27600000426</v>
      </c>
      <c r="P4" s="10">
        <v>1.3589758249389617E-2</v>
      </c>
      <c r="Q4" s="8">
        <v>97002593.740499958</v>
      </c>
      <c r="R4" s="9">
        <v>-3284534.4281000197</v>
      </c>
      <c r="S4" s="10">
        <v>-3.2751306055729804E-2</v>
      </c>
      <c r="T4" s="8">
        <v>13126383.504800001</v>
      </c>
      <c r="U4" s="9">
        <v>3510972.406100003</v>
      </c>
      <c r="V4" s="10">
        <v>0.36514012454180828</v>
      </c>
      <c r="W4" s="8">
        <v>35944201.938599989</v>
      </c>
      <c r="X4" s="9">
        <v>406118.00430001318</v>
      </c>
      <c r="Y4" s="10">
        <v>1.1427684313279588E-2</v>
      </c>
      <c r="Z4" s="8">
        <v>71689573.269299909</v>
      </c>
      <c r="AA4" s="9">
        <v>-2972042.9160000831</v>
      </c>
      <c r="AB4" s="10">
        <v>-3.9806838745947801E-2</v>
      </c>
      <c r="AC4" s="8">
        <v>167303917.21780032</v>
      </c>
      <c r="AD4" s="9">
        <v>-15730538.127999693</v>
      </c>
      <c r="AE4" s="10">
        <v>-8.5943043337280881E-2</v>
      </c>
    </row>
    <row r="5" spans="1:31" x14ac:dyDescent="0.35">
      <c r="A5" s="4" t="s">
        <v>20</v>
      </c>
      <c r="B5" s="4" t="s">
        <v>1</v>
      </c>
      <c r="C5" s="4" t="s">
        <v>22</v>
      </c>
      <c r="D5" s="11" t="s">
        <v>21</v>
      </c>
      <c r="E5" s="8">
        <v>2179084.3749999995</v>
      </c>
      <c r="F5" s="9">
        <v>1161167.8863999995</v>
      </c>
      <c r="G5" s="10">
        <v>1.1407300101769855</v>
      </c>
      <c r="H5" s="8">
        <v>5746095.5532999998</v>
      </c>
      <c r="I5" s="9">
        <v>2617906.9759000009</v>
      </c>
      <c r="J5" s="10">
        <v>0.83687632990332073</v>
      </c>
      <c r="K5" s="8">
        <v>17115049.869099997</v>
      </c>
      <c r="L5" s="9">
        <v>830124.15160000324</v>
      </c>
      <c r="M5" s="10">
        <v>5.0975003877846432E-2</v>
      </c>
      <c r="N5" s="8">
        <v>17115049.869099997</v>
      </c>
      <c r="O5" s="9">
        <v>830124.15160000324</v>
      </c>
      <c r="P5" s="10">
        <v>5.0975003877846432E-2</v>
      </c>
      <c r="Q5" s="8">
        <v>47023945.933999985</v>
      </c>
      <c r="R5" s="9">
        <v>-612731.45290000737</v>
      </c>
      <c r="S5" s="10">
        <v>-1.2862598453781068E-2</v>
      </c>
      <c r="T5" s="8">
        <v>6825793.5835000006</v>
      </c>
      <c r="U5" s="9">
        <v>2404072.8564000009</v>
      </c>
      <c r="V5" s="10">
        <v>0.54369622252844541</v>
      </c>
      <c r="W5" s="8">
        <v>19108495.2852</v>
      </c>
      <c r="X5" s="9">
        <v>504204.41470000148</v>
      </c>
      <c r="Y5" s="10">
        <v>2.7101512130166493E-2</v>
      </c>
      <c r="Z5" s="8">
        <v>36075219.371399991</v>
      </c>
      <c r="AA5" s="9">
        <v>-330887.48400001973</v>
      </c>
      <c r="AB5" s="10">
        <v>-9.0887906612552322E-3</v>
      </c>
      <c r="AC5" s="8">
        <v>77651949.118999973</v>
      </c>
      <c r="AD5" s="9">
        <v>-6751484.8338000178</v>
      </c>
      <c r="AE5" s="10">
        <v>-7.999064158426987E-2</v>
      </c>
    </row>
    <row r="6" spans="1:31" x14ac:dyDescent="0.35">
      <c r="A6" s="4" t="s">
        <v>20</v>
      </c>
      <c r="B6" s="4" t="s">
        <v>1</v>
      </c>
      <c r="C6" s="4" t="s">
        <v>22</v>
      </c>
      <c r="D6" s="7" t="s">
        <v>23</v>
      </c>
      <c r="E6" s="12">
        <v>1227672.3091</v>
      </c>
      <c r="F6" s="13">
        <v>1097422.165</v>
      </c>
      <c r="G6" s="14">
        <v>8.4254967438458284</v>
      </c>
      <c r="H6" s="12">
        <v>2671537.3287999998</v>
      </c>
      <c r="I6" s="13">
        <v>2275882.8723999998</v>
      </c>
      <c r="J6" s="14">
        <v>5.7521982517470258</v>
      </c>
      <c r="K6" s="12">
        <v>3621164.2104000002</v>
      </c>
      <c r="L6" s="13">
        <v>1741261.9701</v>
      </c>
      <c r="M6" s="14">
        <v>0.92625134050700664</v>
      </c>
      <c r="N6" s="12">
        <v>3621164.2104000002</v>
      </c>
      <c r="O6" s="13">
        <v>1741261.9701</v>
      </c>
      <c r="P6" s="14">
        <v>0.92625134050700664</v>
      </c>
      <c r="Q6" s="12">
        <v>6934967.6475999989</v>
      </c>
      <c r="R6" s="13">
        <v>-361018.03900000267</v>
      </c>
      <c r="S6" s="14">
        <v>-4.9481736191322012E-2</v>
      </c>
      <c r="T6" s="12">
        <v>2773137.9492000006</v>
      </c>
      <c r="U6" s="13">
        <v>2222276.8599000005</v>
      </c>
      <c r="V6" s="14">
        <v>4.0341873896446954</v>
      </c>
      <c r="W6" s="12">
        <v>3819175.44</v>
      </c>
      <c r="X6" s="13">
        <v>1639873.8295</v>
      </c>
      <c r="Y6" s="14">
        <v>0.75247676668479202</v>
      </c>
      <c r="Z6" s="12">
        <v>5744934.5175999999</v>
      </c>
      <c r="AA6" s="13">
        <v>561828.26169999968</v>
      </c>
      <c r="AB6" s="14">
        <v>0.10839605324711662</v>
      </c>
      <c r="AC6" s="12">
        <v>10762518.798</v>
      </c>
      <c r="AD6" s="13">
        <v>-3548873.8702999987</v>
      </c>
      <c r="AE6" s="14">
        <v>-0.2479754383485557</v>
      </c>
    </row>
    <row r="7" spans="1:31" x14ac:dyDescent="0.35">
      <c r="A7" s="4" t="s">
        <v>20</v>
      </c>
      <c r="B7" s="4" t="s">
        <v>1</v>
      </c>
      <c r="C7" s="4" t="s">
        <v>22</v>
      </c>
      <c r="D7" s="7" t="s">
        <v>24</v>
      </c>
      <c r="E7" s="12">
        <v>320502.7746</v>
      </c>
      <c r="F7" s="13">
        <v>-24701.837599999912</v>
      </c>
      <c r="G7" s="14">
        <v>-7.1557090279224023E-2</v>
      </c>
      <c r="H7" s="12">
        <v>1036067.6030000001</v>
      </c>
      <c r="I7" s="13">
        <v>-10010.334700000007</v>
      </c>
      <c r="J7" s="14">
        <v>-9.5693966378926007E-3</v>
      </c>
      <c r="K7" s="12">
        <v>4829491.8421</v>
      </c>
      <c r="L7" s="13">
        <v>-247809.92650000006</v>
      </c>
      <c r="M7" s="14">
        <v>-4.8807405546101787E-2</v>
      </c>
      <c r="N7" s="12">
        <v>4829491.8421</v>
      </c>
      <c r="O7" s="13">
        <v>-247809.92650000006</v>
      </c>
      <c r="P7" s="14">
        <v>-4.8807405546101787E-2</v>
      </c>
      <c r="Q7" s="12">
        <v>16343638.252900004</v>
      </c>
      <c r="R7" s="13">
        <v>-1189122.9563999996</v>
      </c>
      <c r="S7" s="14">
        <v>-6.7822914041015175E-2</v>
      </c>
      <c r="T7" s="12">
        <v>1404878.7106000001</v>
      </c>
      <c r="U7" s="13">
        <v>-69290.855800000019</v>
      </c>
      <c r="V7" s="14">
        <v>-4.7003314529964112E-2</v>
      </c>
      <c r="W7" s="12">
        <v>5578025.5868999995</v>
      </c>
      <c r="X7" s="13">
        <v>-335378.16910000052</v>
      </c>
      <c r="Y7" s="14">
        <v>-5.6714911231912933E-2</v>
      </c>
      <c r="Z7" s="12">
        <v>12189724.192400001</v>
      </c>
      <c r="AA7" s="13">
        <v>-969719.02029999904</v>
      </c>
      <c r="AB7" s="14">
        <v>-7.3689973399796757E-2</v>
      </c>
      <c r="AC7" s="12">
        <v>27294252.372600004</v>
      </c>
      <c r="AD7" s="13">
        <v>-3728781.5171999931</v>
      </c>
      <c r="AE7" s="14">
        <v>-0.12019396718081696</v>
      </c>
    </row>
    <row r="8" spans="1:31" x14ac:dyDescent="0.35">
      <c r="A8" s="4" t="s">
        <v>20</v>
      </c>
      <c r="B8" s="4" t="s">
        <v>1</v>
      </c>
      <c r="C8" s="4" t="s">
        <v>22</v>
      </c>
      <c r="D8" s="7" t="s">
        <v>25</v>
      </c>
      <c r="E8" s="12">
        <v>195665.505</v>
      </c>
      <c r="F8" s="13">
        <v>195665.505</v>
      </c>
      <c r="G8" s="14"/>
      <c r="H8" s="12">
        <v>569636.62049999996</v>
      </c>
      <c r="I8" s="13">
        <v>569636.62049999996</v>
      </c>
      <c r="J8" s="14"/>
      <c r="K8" s="12">
        <v>3348443.3722999999</v>
      </c>
      <c r="L8" s="13">
        <v>3348443.3722999999</v>
      </c>
      <c r="M8" s="14"/>
      <c r="N8" s="12">
        <v>3348443.3722999999</v>
      </c>
      <c r="O8" s="13">
        <v>3348443.3722999999</v>
      </c>
      <c r="P8" s="14"/>
      <c r="Q8" s="12">
        <v>3581695.0630999999</v>
      </c>
      <c r="R8" s="13">
        <v>3581695.0630999999</v>
      </c>
      <c r="S8" s="14"/>
      <c r="T8" s="12">
        <v>791237.41399999987</v>
      </c>
      <c r="U8" s="13">
        <v>791237.41399999987</v>
      </c>
      <c r="V8" s="14"/>
      <c r="W8" s="12">
        <v>3572421.0930999992</v>
      </c>
      <c r="X8" s="13">
        <v>3572421.0930999992</v>
      </c>
      <c r="Y8" s="14"/>
      <c r="Z8" s="12">
        <v>3581695.0630999999</v>
      </c>
      <c r="AA8" s="13">
        <v>3581695.0630999999</v>
      </c>
      <c r="AB8" s="14"/>
      <c r="AC8" s="12">
        <v>3581695.0630999999</v>
      </c>
      <c r="AD8" s="13">
        <v>3581695.0630999999</v>
      </c>
      <c r="AE8" s="14"/>
    </row>
    <row r="9" spans="1:31" x14ac:dyDescent="0.35">
      <c r="A9" s="4" t="s">
        <v>20</v>
      </c>
      <c r="B9" s="4" t="s">
        <v>1</v>
      </c>
      <c r="C9" s="4" t="s">
        <v>22</v>
      </c>
      <c r="D9" s="7" t="s">
        <v>26</v>
      </c>
      <c r="E9" s="12">
        <v>171210.18899999998</v>
      </c>
      <c r="F9" s="13">
        <v>-60941.896800000017</v>
      </c>
      <c r="G9" s="14">
        <v>-0.26250850424192063</v>
      </c>
      <c r="H9" s="12">
        <v>501828.57490000001</v>
      </c>
      <c r="I9" s="13">
        <v>-226513.98080000002</v>
      </c>
      <c r="J9" s="14">
        <v>-0.31099923933773244</v>
      </c>
      <c r="K9" s="12">
        <v>2365348.8121999996</v>
      </c>
      <c r="L9" s="13">
        <v>-1213937.6794000003</v>
      </c>
      <c r="M9" s="14">
        <v>-0.3391563324838382</v>
      </c>
      <c r="N9" s="12">
        <v>2365348.8121999996</v>
      </c>
      <c r="O9" s="13">
        <v>-1213937.6794000003</v>
      </c>
      <c r="P9" s="14">
        <v>-0.3391563324838382</v>
      </c>
      <c r="Q9" s="12">
        <v>9217005.370099999</v>
      </c>
      <c r="R9" s="13">
        <v>-3821213.5410999991</v>
      </c>
      <c r="S9" s="14">
        <v>-0.29307787874442937</v>
      </c>
      <c r="T9" s="12">
        <v>694852.96699999995</v>
      </c>
      <c r="U9" s="13">
        <v>-319667.26640000008</v>
      </c>
      <c r="V9" s="14">
        <v>-0.31509205620146885</v>
      </c>
      <c r="W9" s="12">
        <v>2743232.7133999998</v>
      </c>
      <c r="X9" s="13">
        <v>-1430845.2547999998</v>
      </c>
      <c r="Y9" s="14">
        <v>-0.34279313077063284</v>
      </c>
      <c r="Z9" s="12">
        <v>6627954.8606999982</v>
      </c>
      <c r="AA9" s="13">
        <v>-3001901.5340000018</v>
      </c>
      <c r="AB9" s="14">
        <v>-0.31172858773389012</v>
      </c>
      <c r="AC9" s="12">
        <v>15283086.908400001</v>
      </c>
      <c r="AD9" s="13">
        <v>-9519268.0667999964</v>
      </c>
      <c r="AE9" s="14">
        <v>-0.38380500869043932</v>
      </c>
    </row>
    <row r="10" spans="1:31" x14ac:dyDescent="0.35">
      <c r="A10" s="4" t="s">
        <v>20</v>
      </c>
      <c r="B10" s="4" t="s">
        <v>1</v>
      </c>
      <c r="C10" s="4" t="s">
        <v>22</v>
      </c>
      <c r="D10" s="7" t="s">
        <v>27</v>
      </c>
      <c r="E10" s="12">
        <v>134997.64810000002</v>
      </c>
      <c r="F10" s="13">
        <v>-88983.902000000002</v>
      </c>
      <c r="G10" s="14">
        <v>-0.39728228490369749</v>
      </c>
      <c r="H10" s="12">
        <v>395976.85520000011</v>
      </c>
      <c r="I10" s="13">
        <v>-299713.51959999988</v>
      </c>
      <c r="J10" s="14">
        <v>-0.43081452677300991</v>
      </c>
      <c r="K10" s="12">
        <v>1880474.1312000002</v>
      </c>
      <c r="L10" s="13">
        <v>-2556147.0240999996</v>
      </c>
      <c r="M10" s="14">
        <v>-0.57614723786961597</v>
      </c>
      <c r="N10" s="12">
        <v>1880474.1312000002</v>
      </c>
      <c r="O10" s="13">
        <v>-2556147.0240999996</v>
      </c>
      <c r="P10" s="14">
        <v>-0.57614723786961597</v>
      </c>
      <c r="Q10" s="12">
        <v>7502709.2945999997</v>
      </c>
      <c r="R10" s="13">
        <v>2678592.4727999996</v>
      </c>
      <c r="S10" s="14">
        <v>0.55525033322069284</v>
      </c>
      <c r="T10" s="12">
        <v>546797.67140000011</v>
      </c>
      <c r="U10" s="13">
        <v>-461430.66619999986</v>
      </c>
      <c r="V10" s="14">
        <v>-0.45766484534485063</v>
      </c>
      <c r="W10" s="12">
        <v>2178739.3440999999</v>
      </c>
      <c r="X10" s="13">
        <v>-2634244.1676999996</v>
      </c>
      <c r="Y10" s="14">
        <v>-0.54732042219584154</v>
      </c>
      <c r="Z10" s="12">
        <v>5392677.8938000007</v>
      </c>
      <c r="AA10" s="13">
        <v>568561.07200000063</v>
      </c>
      <c r="AB10" s="14">
        <v>0.11785806459551204</v>
      </c>
      <c r="AC10" s="12">
        <v>13462296.3047</v>
      </c>
      <c r="AD10" s="13">
        <v>8638179.4829000011</v>
      </c>
      <c r="AE10" s="14">
        <v>1.7906240254929975</v>
      </c>
    </row>
    <row r="11" spans="1:31" x14ac:dyDescent="0.35">
      <c r="A11" s="4" t="s">
        <v>20</v>
      </c>
      <c r="B11" s="4" t="s">
        <v>1</v>
      </c>
      <c r="C11" s="4" t="s">
        <v>22</v>
      </c>
      <c r="D11" s="7" t="s">
        <v>28</v>
      </c>
      <c r="E11" s="12">
        <v>129035.94919999997</v>
      </c>
      <c r="F11" s="13">
        <v>42707.852799999979</v>
      </c>
      <c r="G11" s="14">
        <v>0.49471556284658191</v>
      </c>
      <c r="H11" s="12">
        <v>571048.57089999993</v>
      </c>
      <c r="I11" s="13">
        <v>308625.31809999997</v>
      </c>
      <c r="J11" s="14">
        <v>1.1760593423297434</v>
      </c>
      <c r="K11" s="12">
        <v>1070127.5009000001</v>
      </c>
      <c r="L11" s="13">
        <v>-241686.56079999986</v>
      </c>
      <c r="M11" s="14">
        <v>-0.1842384281860758</v>
      </c>
      <c r="N11" s="12">
        <v>1070127.5009000001</v>
      </c>
      <c r="O11" s="13">
        <v>-241686.56079999986</v>
      </c>
      <c r="P11" s="14">
        <v>-0.1842384281860758</v>
      </c>
      <c r="Q11" s="12">
        <v>3443930.3056999994</v>
      </c>
      <c r="R11" s="13">
        <v>-1501664.4523</v>
      </c>
      <c r="S11" s="14">
        <v>-0.30363677692574914</v>
      </c>
      <c r="T11" s="12">
        <v>614888.8713</v>
      </c>
      <c r="U11" s="13">
        <v>240947.37090000004</v>
      </c>
      <c r="V11" s="14">
        <v>0.64434509312890387</v>
      </c>
      <c r="W11" s="12">
        <v>1216901.1077000001</v>
      </c>
      <c r="X11" s="13">
        <v>-307622.91629999992</v>
      </c>
      <c r="Y11" s="14">
        <v>-0.2017829246749869</v>
      </c>
      <c r="Z11" s="12">
        <v>2538232.8437999999</v>
      </c>
      <c r="AA11" s="13">
        <v>-1071351.3265</v>
      </c>
      <c r="AB11" s="14">
        <v>-0.29680740937285244</v>
      </c>
      <c r="AC11" s="12">
        <v>7268099.6721999999</v>
      </c>
      <c r="AD11" s="13">
        <v>-2174435.9254999999</v>
      </c>
      <c r="AE11" s="14">
        <v>-0.23028093492489943</v>
      </c>
    </row>
    <row r="12" spans="1:31" x14ac:dyDescent="0.35">
      <c r="A12" s="4" t="s">
        <v>20</v>
      </c>
      <c r="B12" s="4" t="s">
        <v>1</v>
      </c>
      <c r="C12" s="4" t="s">
        <v>29</v>
      </c>
      <c r="D12" s="11" t="s">
        <v>21</v>
      </c>
      <c r="E12" s="8">
        <v>1028704.2028999999</v>
      </c>
      <c r="F12" s="9">
        <v>137950.91119999962</v>
      </c>
      <c r="G12" s="10">
        <v>0.15486994264901416</v>
      </c>
      <c r="H12" s="8">
        <v>4036347.3098000009</v>
      </c>
      <c r="I12" s="9">
        <v>1275742.7543000001</v>
      </c>
      <c r="J12" s="10">
        <v>0.4621244110310242</v>
      </c>
      <c r="K12" s="8">
        <v>11011021.083200004</v>
      </c>
      <c r="L12" s="9">
        <v>187388.59779999778</v>
      </c>
      <c r="M12" s="10">
        <v>1.7312912097927031E-2</v>
      </c>
      <c r="N12" s="8">
        <v>11011021.083200004</v>
      </c>
      <c r="O12" s="9">
        <v>187388.59779999778</v>
      </c>
      <c r="P12" s="10">
        <v>1.7312912097927031E-2</v>
      </c>
      <c r="Q12" s="8">
        <v>35036940.499399997</v>
      </c>
      <c r="R12" s="9">
        <v>-3617528.7910000011</v>
      </c>
      <c r="S12" s="10">
        <v>-9.3586300818736881E-2</v>
      </c>
      <c r="T12" s="8">
        <v>5127796.0347000007</v>
      </c>
      <c r="U12" s="9">
        <v>1313135.6087000002</v>
      </c>
      <c r="V12" s="10">
        <v>0.34423394537294</v>
      </c>
      <c r="W12" s="8">
        <v>12914522.724499995</v>
      </c>
      <c r="X12" s="9">
        <v>487176.88839998841</v>
      </c>
      <c r="Y12" s="10">
        <v>3.9202006190637725E-2</v>
      </c>
      <c r="Z12" s="8">
        <v>25657147.287600007</v>
      </c>
      <c r="AA12" s="9">
        <v>-2006426.9260999933</v>
      </c>
      <c r="AB12" s="10">
        <v>-7.2529562181677096E-2</v>
      </c>
      <c r="AC12" s="8">
        <v>61706824.987100005</v>
      </c>
      <c r="AD12" s="9">
        <v>-10450210.046400011</v>
      </c>
      <c r="AE12" s="10">
        <v>-0.14482593473454583</v>
      </c>
    </row>
    <row r="13" spans="1:31" x14ac:dyDescent="0.35">
      <c r="A13" s="4" t="s">
        <v>20</v>
      </c>
      <c r="B13" s="4" t="s">
        <v>1</v>
      </c>
      <c r="C13" s="4" t="s">
        <v>30</v>
      </c>
      <c r="D13" s="11" t="s">
        <v>21</v>
      </c>
      <c r="E13" s="8">
        <v>206345.63379999995</v>
      </c>
      <c r="F13" s="9">
        <v>-60037.559400000086</v>
      </c>
      <c r="G13" s="10">
        <v>-0.22538043289737122</v>
      </c>
      <c r="H13" s="8">
        <v>623593.97999999986</v>
      </c>
      <c r="I13" s="9">
        <v>-169506.33370000031</v>
      </c>
      <c r="J13" s="10">
        <v>-0.21372622198220204</v>
      </c>
      <c r="K13" s="8">
        <v>2460742.1035000002</v>
      </c>
      <c r="L13" s="9">
        <v>-641784.18619999988</v>
      </c>
      <c r="M13" s="10">
        <v>-0.20685858112810945</v>
      </c>
      <c r="N13" s="8">
        <v>2460742.1035000002</v>
      </c>
      <c r="O13" s="9">
        <v>-641784.18619999988</v>
      </c>
      <c r="P13" s="10">
        <v>-0.20685858112810945</v>
      </c>
      <c r="Q13" s="8">
        <v>11954313.510200007</v>
      </c>
      <c r="R13" s="9">
        <v>724587.24260000512</v>
      </c>
      <c r="S13" s="10">
        <v>6.4524034275936337E-2</v>
      </c>
      <c r="T13" s="8">
        <v>824747.85530000005</v>
      </c>
      <c r="U13" s="9">
        <v>-259556.77920000011</v>
      </c>
      <c r="V13" s="10">
        <v>-0.23937625178526345</v>
      </c>
      <c r="W13" s="8">
        <v>2952607.3973000003</v>
      </c>
      <c r="X13" s="9">
        <v>-657411.9711000002</v>
      </c>
      <c r="Y13" s="10">
        <v>-0.18210760220695776</v>
      </c>
      <c r="Z13" s="8">
        <v>7768217.6258999994</v>
      </c>
      <c r="AA13" s="9">
        <v>-688819.70339999814</v>
      </c>
      <c r="AB13" s="10">
        <v>-8.1449292060416248E-2</v>
      </c>
      <c r="AC13" s="8">
        <v>22323763.95409999</v>
      </c>
      <c r="AD13" s="9">
        <v>756175.85349998996</v>
      </c>
      <c r="AE13" s="10">
        <v>3.506075180835605E-2</v>
      </c>
    </row>
    <row r="14" spans="1:31" x14ac:dyDescent="0.35">
      <c r="A14" s="4" t="s">
        <v>20</v>
      </c>
      <c r="B14" s="4" t="s">
        <v>1</v>
      </c>
      <c r="C14" s="4" t="s">
        <v>31</v>
      </c>
      <c r="D14" s="11" t="s">
        <v>21</v>
      </c>
      <c r="E14" s="8">
        <v>59243.75</v>
      </c>
      <c r="F14" s="9">
        <v>12646.93</v>
      </c>
      <c r="G14" s="10">
        <v>0.27141186887860591</v>
      </c>
      <c r="H14" s="8">
        <v>117010.63000000002</v>
      </c>
      <c r="I14" s="9">
        <v>12635.520000000019</v>
      </c>
      <c r="J14" s="10">
        <v>0.12105874666862644</v>
      </c>
      <c r="K14" s="8">
        <v>380598.28999999992</v>
      </c>
      <c r="L14" s="9">
        <v>45040.359999999928</v>
      </c>
      <c r="M14" s="10">
        <v>0.13422528861111979</v>
      </c>
      <c r="N14" s="8">
        <v>380598.28999999992</v>
      </c>
      <c r="O14" s="9">
        <v>45040.359999999928</v>
      </c>
      <c r="P14" s="10">
        <v>0.13422528861111979</v>
      </c>
      <c r="Q14" s="8">
        <v>1275917.1699999997</v>
      </c>
      <c r="R14" s="9">
        <v>80329.469999999739</v>
      </c>
      <c r="S14" s="10">
        <v>6.718827067223905E-2</v>
      </c>
      <c r="T14" s="8">
        <v>158755.13999999998</v>
      </c>
      <c r="U14" s="9">
        <v>27920.87999999999</v>
      </c>
      <c r="V14" s="10">
        <v>0.21340648848397958</v>
      </c>
      <c r="W14" s="8">
        <v>435277.53999999992</v>
      </c>
      <c r="X14" s="9">
        <v>53371.649999999965</v>
      </c>
      <c r="Y14" s="10">
        <v>0.13975079043687955</v>
      </c>
      <c r="Z14" s="8">
        <v>944492.9</v>
      </c>
      <c r="AA14" s="9">
        <v>32285.369999999995</v>
      </c>
      <c r="AB14" s="10">
        <v>3.53925712496585E-2</v>
      </c>
      <c r="AC14" s="8">
        <v>2034866.51</v>
      </c>
      <c r="AD14" s="9">
        <v>263416.62999999989</v>
      </c>
      <c r="AE14" s="10">
        <v>0.14870114755942171</v>
      </c>
    </row>
    <row r="15" spans="1:31" x14ac:dyDescent="0.35">
      <c r="A15" s="4" t="s">
        <v>20</v>
      </c>
      <c r="B15" s="4" t="s">
        <v>1</v>
      </c>
      <c r="C15" s="4" t="s">
        <v>32</v>
      </c>
      <c r="D15" s="11" t="s">
        <v>21</v>
      </c>
      <c r="E15" s="8">
        <v>33205.600000000006</v>
      </c>
      <c r="F15" s="9">
        <v>14902.910000000003</v>
      </c>
      <c r="G15" s="10">
        <v>0.81424697681051261</v>
      </c>
      <c r="H15" s="8">
        <v>102368.17000000001</v>
      </c>
      <c r="I15" s="9">
        <v>32965.5</v>
      </c>
      <c r="J15" s="10">
        <v>0.47498893054114477</v>
      </c>
      <c r="K15" s="8">
        <v>309721.55000000005</v>
      </c>
      <c r="L15" s="9">
        <v>22849.140000000014</v>
      </c>
      <c r="M15" s="10">
        <v>7.964913739874814E-2</v>
      </c>
      <c r="N15" s="8">
        <v>309721.55000000005</v>
      </c>
      <c r="O15" s="9">
        <v>22849.140000000014</v>
      </c>
      <c r="P15" s="10">
        <v>7.964913739874814E-2</v>
      </c>
      <c r="Q15" s="8">
        <v>1184824.5299999998</v>
      </c>
      <c r="R15" s="9">
        <v>246724.87000000011</v>
      </c>
      <c r="S15" s="10">
        <v>0.26300496687100411</v>
      </c>
      <c r="T15" s="8">
        <v>138204.74000000002</v>
      </c>
      <c r="U15" s="9">
        <v>37343.050000000003</v>
      </c>
      <c r="V15" s="10">
        <v>0.37024017741523069</v>
      </c>
      <c r="W15" s="8">
        <v>369880.41000000003</v>
      </c>
      <c r="X15" s="9">
        <v>47030.850000000035</v>
      </c>
      <c r="Y15" s="10">
        <v>0.14567419574615506</v>
      </c>
      <c r="Z15" s="8">
        <v>880888.88999999978</v>
      </c>
      <c r="AA15" s="9">
        <v>118223.29999999981</v>
      </c>
      <c r="AB15" s="10">
        <v>0.15501328701613484</v>
      </c>
      <c r="AC15" s="8">
        <v>1937798.1300000001</v>
      </c>
      <c r="AD15" s="9">
        <v>677109.6100000001</v>
      </c>
      <c r="AE15" s="10">
        <v>0.53709508673879258</v>
      </c>
    </row>
    <row r="16" spans="1:31" x14ac:dyDescent="0.35">
      <c r="A16" s="4" t="s">
        <v>20</v>
      </c>
      <c r="B16" s="4" t="s">
        <v>1</v>
      </c>
      <c r="C16" s="4" t="s">
        <v>33</v>
      </c>
      <c r="D16" s="11" t="s">
        <v>21</v>
      </c>
      <c r="E16" s="8">
        <v>9973.4307000000008</v>
      </c>
      <c r="F16" s="9">
        <v>-5358.7898999999979</v>
      </c>
      <c r="G16" s="10">
        <v>-0.34951166173541742</v>
      </c>
      <c r="H16" s="8">
        <v>33448.881999999998</v>
      </c>
      <c r="I16" s="9">
        <v>-9110.4890999999989</v>
      </c>
      <c r="J16" s="10">
        <v>-0.21406540708962685</v>
      </c>
      <c r="K16" s="8">
        <v>127373.72100000001</v>
      </c>
      <c r="L16" s="9">
        <v>-33342.787199999977</v>
      </c>
      <c r="M16" s="10">
        <v>-0.20746336249731925</v>
      </c>
      <c r="N16" s="8">
        <v>127373.72100000001</v>
      </c>
      <c r="O16" s="9">
        <v>-33342.787199999977</v>
      </c>
      <c r="P16" s="10">
        <v>-0.20746336249731925</v>
      </c>
      <c r="Q16" s="8">
        <v>421188.09690000006</v>
      </c>
      <c r="R16" s="9">
        <v>-195454.78679999983</v>
      </c>
      <c r="S16" s="10">
        <v>-0.31696593274088547</v>
      </c>
      <c r="T16" s="8">
        <v>46336.151299999998</v>
      </c>
      <c r="U16" s="9">
        <v>-14553.209799999997</v>
      </c>
      <c r="V16" s="10">
        <v>-0.23901071611014157</v>
      </c>
      <c r="W16" s="8">
        <v>142186.5816</v>
      </c>
      <c r="X16" s="9">
        <v>-43294.827699999994</v>
      </c>
      <c r="Y16" s="10">
        <v>-0.2334186906568862</v>
      </c>
      <c r="Z16" s="8">
        <v>294855.19439999998</v>
      </c>
      <c r="AA16" s="9">
        <v>-154634.47249999997</v>
      </c>
      <c r="AB16" s="10">
        <v>-0.34402230771280939</v>
      </c>
      <c r="AC16" s="8">
        <v>1535933.5176000001</v>
      </c>
      <c r="AD16" s="9">
        <v>-291516.24130000011</v>
      </c>
      <c r="AE16" s="10">
        <v>-0.15952079660754828</v>
      </c>
    </row>
    <row r="17" spans="1:31" x14ac:dyDescent="0.35">
      <c r="A17" s="4" t="s">
        <v>20</v>
      </c>
      <c r="B17" s="4" t="s">
        <v>1</v>
      </c>
      <c r="C17" s="4" t="s">
        <v>34</v>
      </c>
      <c r="D17" s="11" t="s">
        <v>21</v>
      </c>
      <c r="E17" s="8">
        <v>1995</v>
      </c>
      <c r="F17" s="9">
        <v>1995</v>
      </c>
      <c r="G17" s="10"/>
      <c r="H17" s="8">
        <v>3905</v>
      </c>
      <c r="I17" s="9">
        <v>3745</v>
      </c>
      <c r="J17" s="10">
        <v>23.40625</v>
      </c>
      <c r="K17" s="8">
        <v>16535</v>
      </c>
      <c r="L17" s="9">
        <v>15357</v>
      </c>
      <c r="M17" s="10">
        <v>13.036502546689304</v>
      </c>
      <c r="N17" s="8">
        <v>16535</v>
      </c>
      <c r="O17" s="9">
        <v>15357</v>
      </c>
      <c r="P17" s="10">
        <v>13.036502546689304</v>
      </c>
      <c r="Q17" s="8">
        <v>105549</v>
      </c>
      <c r="R17" s="9">
        <v>94165.99</v>
      </c>
      <c r="S17" s="10">
        <v>8.2725034942427378</v>
      </c>
      <c r="T17" s="8">
        <v>4750</v>
      </c>
      <c r="U17" s="9">
        <v>4052</v>
      </c>
      <c r="V17" s="10">
        <v>5.8051575931232096</v>
      </c>
      <c r="W17" s="8">
        <v>21232</v>
      </c>
      <c r="X17" s="9">
        <v>19394</v>
      </c>
      <c r="Y17" s="10">
        <v>10.551686615886833</v>
      </c>
      <c r="Z17" s="8">
        <v>68752</v>
      </c>
      <c r="AA17" s="9">
        <v>62570</v>
      </c>
      <c r="AB17" s="10">
        <v>10.121319961177612</v>
      </c>
      <c r="AC17" s="8">
        <v>106429</v>
      </c>
      <c r="AD17" s="9">
        <v>66907.840000000011</v>
      </c>
      <c r="AE17" s="10">
        <v>1.6929624535312231</v>
      </c>
    </row>
    <row r="18" spans="1:31" x14ac:dyDescent="0.35">
      <c r="A18" s="4" t="s">
        <v>20</v>
      </c>
      <c r="B18" s="4" t="s">
        <v>1</v>
      </c>
      <c r="C18" s="4" t="s">
        <v>35</v>
      </c>
      <c r="D18" s="11" t="s">
        <v>21</v>
      </c>
      <c r="E18" s="8">
        <v>0</v>
      </c>
      <c r="F18" s="9">
        <v>0</v>
      </c>
      <c r="G18" s="10"/>
      <c r="H18" s="8">
        <v>0</v>
      </c>
      <c r="I18" s="9">
        <v>0</v>
      </c>
      <c r="J18" s="10"/>
      <c r="K18" s="8">
        <v>0</v>
      </c>
      <c r="L18" s="9">
        <v>0</v>
      </c>
      <c r="M18" s="10"/>
      <c r="N18" s="8">
        <v>0</v>
      </c>
      <c r="O18" s="9">
        <v>0</v>
      </c>
      <c r="P18" s="10"/>
      <c r="Q18" s="8">
        <v>0</v>
      </c>
      <c r="R18" s="9">
        <v>0</v>
      </c>
      <c r="S18" s="10"/>
      <c r="T18" s="8">
        <v>0</v>
      </c>
      <c r="U18" s="9">
        <v>0</v>
      </c>
      <c r="V18" s="10"/>
      <c r="W18" s="8">
        <v>0</v>
      </c>
      <c r="X18" s="9">
        <v>0</v>
      </c>
      <c r="Y18" s="10"/>
      <c r="Z18" s="8">
        <v>0</v>
      </c>
      <c r="AA18" s="9">
        <v>0</v>
      </c>
      <c r="AB18" s="10"/>
      <c r="AC18" s="8">
        <v>0</v>
      </c>
      <c r="AD18" s="9">
        <v>0</v>
      </c>
      <c r="AE18" s="10"/>
    </row>
    <row r="19" spans="1:31" x14ac:dyDescent="0.35">
      <c r="A19" s="4" t="s">
        <v>20</v>
      </c>
      <c r="B19" s="4" t="s">
        <v>1</v>
      </c>
      <c r="C19" s="4" t="s">
        <v>36</v>
      </c>
      <c r="D19" s="11" t="s">
        <v>21</v>
      </c>
      <c r="E19" s="8">
        <v>0</v>
      </c>
      <c r="F19" s="9">
        <v>0</v>
      </c>
      <c r="G19" s="10"/>
      <c r="H19" s="8">
        <v>0</v>
      </c>
      <c r="I19" s="9">
        <v>-653</v>
      </c>
      <c r="J19" s="10">
        <v>-1</v>
      </c>
      <c r="K19" s="8">
        <v>0</v>
      </c>
      <c r="L19" s="9">
        <v>-4353</v>
      </c>
      <c r="M19" s="10">
        <v>-1</v>
      </c>
      <c r="N19" s="8">
        <v>0</v>
      </c>
      <c r="O19" s="9">
        <v>-4353</v>
      </c>
      <c r="P19" s="10">
        <v>-1</v>
      </c>
      <c r="Q19" s="8">
        <v>0</v>
      </c>
      <c r="R19" s="9">
        <v>-4541.97</v>
      </c>
      <c r="S19" s="10">
        <v>-1</v>
      </c>
      <c r="T19" s="8">
        <v>0</v>
      </c>
      <c r="U19" s="9">
        <v>-1442</v>
      </c>
      <c r="V19" s="10">
        <v>-1</v>
      </c>
      <c r="W19" s="8">
        <v>0</v>
      </c>
      <c r="X19" s="9">
        <v>-4353</v>
      </c>
      <c r="Y19" s="10">
        <v>-1</v>
      </c>
      <c r="Z19" s="8">
        <v>0</v>
      </c>
      <c r="AA19" s="9">
        <v>-4353</v>
      </c>
      <c r="AB19" s="10">
        <v>-1</v>
      </c>
      <c r="AC19" s="8">
        <v>6437</v>
      </c>
      <c r="AD19" s="9">
        <v>-851.9399999999996</v>
      </c>
      <c r="AE19" s="10">
        <v>-0.11688119260139329</v>
      </c>
    </row>
    <row r="20" spans="1:31" x14ac:dyDescent="0.35">
      <c r="A20" s="4" t="s">
        <v>20</v>
      </c>
      <c r="B20" s="4" t="s">
        <v>1</v>
      </c>
      <c r="C20" s="4" t="s">
        <v>37</v>
      </c>
      <c r="D20" s="11" t="s">
        <v>21</v>
      </c>
      <c r="E20" s="8"/>
      <c r="F20" s="9"/>
      <c r="G20" s="10"/>
      <c r="H20" s="8"/>
      <c r="I20" s="9"/>
      <c r="J20" s="10"/>
      <c r="K20" s="8"/>
      <c r="L20" s="9">
        <v>0</v>
      </c>
      <c r="M20" s="10"/>
      <c r="N20" s="8"/>
      <c r="O20" s="9">
        <v>0</v>
      </c>
      <c r="P20" s="10"/>
      <c r="Q20" s="8">
        <v>-85</v>
      </c>
      <c r="R20" s="9">
        <v>-85</v>
      </c>
      <c r="S20" s="10"/>
      <c r="T20" s="8"/>
      <c r="U20" s="9"/>
      <c r="V20" s="10"/>
      <c r="W20" s="8"/>
      <c r="X20" s="9">
        <v>0</v>
      </c>
      <c r="Y20" s="10"/>
      <c r="Z20" s="8">
        <v>0</v>
      </c>
      <c r="AA20" s="9">
        <v>0</v>
      </c>
      <c r="AB20" s="10"/>
      <c r="AC20" s="8">
        <v>-85</v>
      </c>
      <c r="AD20" s="9">
        <v>-85</v>
      </c>
      <c r="AE20" s="10"/>
    </row>
    <row r="21" spans="1:31" x14ac:dyDescent="0.35">
      <c r="A21" s="6" t="s">
        <v>21</v>
      </c>
      <c r="D21" s="7"/>
      <c r="E21" s="8">
        <v>3518551.9924000013</v>
      </c>
      <c r="F21" s="9">
        <v>1263267.2883000011</v>
      </c>
      <c r="G21" s="10">
        <v>0.56013650338843757</v>
      </c>
      <c r="H21" s="8">
        <v>10662769.525100002</v>
      </c>
      <c r="I21" s="9">
        <v>3763725.9274000051</v>
      </c>
      <c r="J21" s="10">
        <v>0.54554314291545514</v>
      </c>
      <c r="K21" s="8">
        <v>31421041.616799995</v>
      </c>
      <c r="L21" s="9">
        <v>421279.27599999681</v>
      </c>
      <c r="M21" s="10">
        <v>1.3589758249389374E-2</v>
      </c>
      <c r="N21" s="8">
        <v>31421041.616799995</v>
      </c>
      <c r="O21" s="9">
        <v>421279.27599999681</v>
      </c>
      <c r="P21" s="10">
        <v>1.3589758249389374E-2</v>
      </c>
      <c r="Q21" s="8">
        <v>97002593.740499958</v>
      </c>
      <c r="R21" s="9">
        <v>-3284534.4281000197</v>
      </c>
      <c r="S21" s="10">
        <v>-3.2751306055729804E-2</v>
      </c>
      <c r="T21" s="8">
        <v>13126383.504800001</v>
      </c>
      <c r="U21" s="9">
        <v>3510972.4061000012</v>
      </c>
      <c r="V21" s="10">
        <v>0.36514012454180805</v>
      </c>
      <c r="W21" s="8">
        <v>35944201.938599989</v>
      </c>
      <c r="X21" s="9">
        <v>406118.00430001318</v>
      </c>
      <c r="Y21" s="10">
        <v>1.1427684313279588E-2</v>
      </c>
      <c r="Z21" s="8">
        <v>71689573.269299924</v>
      </c>
      <c r="AA21" s="9">
        <v>-2972042.9160000682</v>
      </c>
      <c r="AB21" s="10">
        <v>-3.9806838745947599E-2</v>
      </c>
      <c r="AC21" s="8">
        <v>167303917.21780029</v>
      </c>
      <c r="AD21" s="9">
        <v>-15730538.127999663</v>
      </c>
      <c r="AE21" s="10">
        <v>-8.5943043337280756E-2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6463-AFA1-46EC-8CAB-1CC5D924335A}">
  <dimension ref="A1:EW9"/>
  <sheetViews>
    <sheetView workbookViewId="0">
      <selection activeCell="E33" sqref="E33"/>
    </sheetView>
  </sheetViews>
  <sheetFormatPr defaultColWidth="255.453125" defaultRowHeight="14.5" x14ac:dyDescent="0.35"/>
  <cols>
    <col min="1" max="1" width="34.453125" bestFit="1" customWidth="1"/>
    <col min="2" max="2" width="8.81640625" bestFit="1" customWidth="1"/>
    <col min="3" max="3" width="12" bestFit="1" customWidth="1"/>
    <col min="4" max="4" width="7.08984375" bestFit="1" customWidth="1"/>
    <col min="5" max="5" width="7" bestFit="1" customWidth="1"/>
    <col min="6" max="6" width="6.90625" bestFit="1" customWidth="1"/>
    <col min="7" max="7" width="10.7265625" bestFit="1" customWidth="1"/>
    <col min="8" max="8" width="11.7265625" bestFit="1" customWidth="1"/>
    <col min="9" max="9" width="7.08984375" bestFit="1" customWidth="1"/>
    <col min="10" max="10" width="8.81640625" bestFit="1" customWidth="1"/>
    <col min="11" max="11" width="12" bestFit="1" customWidth="1"/>
    <col min="12" max="12" width="7.08984375" bestFit="1" customWidth="1"/>
    <col min="13" max="13" width="7" bestFit="1" customWidth="1"/>
    <col min="14" max="14" width="6.90625" bestFit="1" customWidth="1"/>
    <col min="15" max="15" width="10.7265625" bestFit="1" customWidth="1"/>
    <col min="16" max="16" width="11.7265625" bestFit="1" customWidth="1"/>
    <col min="17" max="17" width="7.08984375" bestFit="1" customWidth="1"/>
    <col min="18" max="18" width="8.81640625" bestFit="1" customWidth="1"/>
    <col min="19" max="19" width="12" bestFit="1" customWidth="1"/>
    <col min="20" max="20" width="7.08984375" bestFit="1" customWidth="1"/>
    <col min="21" max="21" width="7" bestFit="1" customWidth="1"/>
    <col min="22" max="22" width="6.90625" bestFit="1" customWidth="1"/>
    <col min="23" max="23" width="10.7265625" bestFit="1" customWidth="1"/>
    <col min="24" max="24" width="11.7265625" bestFit="1" customWidth="1"/>
    <col min="25" max="25" width="7.08984375" bestFit="1" customWidth="1"/>
    <col min="26" max="26" width="8.81640625" bestFit="1" customWidth="1"/>
    <col min="27" max="27" width="12" bestFit="1" customWidth="1"/>
    <col min="28" max="28" width="7.08984375" bestFit="1" customWidth="1"/>
    <col min="29" max="29" width="7" bestFit="1" customWidth="1"/>
    <col min="30" max="30" width="6.90625" bestFit="1" customWidth="1"/>
    <col min="31" max="31" width="10.7265625" bestFit="1" customWidth="1"/>
    <col min="32" max="32" width="11.7265625" bestFit="1" customWidth="1"/>
    <col min="33" max="33" width="7.08984375" bestFit="1" customWidth="1"/>
    <col min="34" max="34" width="8.81640625" bestFit="1" customWidth="1"/>
    <col min="35" max="35" width="12" bestFit="1" customWidth="1"/>
    <col min="36" max="36" width="7.08984375" bestFit="1" customWidth="1"/>
    <col min="37" max="37" width="7" bestFit="1" customWidth="1"/>
    <col min="38" max="38" width="6.90625" bestFit="1" customWidth="1"/>
    <col min="39" max="39" width="10.7265625" bestFit="1" customWidth="1"/>
    <col min="40" max="40" width="11.7265625" bestFit="1" customWidth="1"/>
    <col min="41" max="41" width="7.08984375" bestFit="1" customWidth="1"/>
    <col min="42" max="42" width="8.81640625" bestFit="1" customWidth="1"/>
    <col min="43" max="43" width="12" bestFit="1" customWidth="1"/>
    <col min="44" max="44" width="7.08984375" bestFit="1" customWidth="1"/>
    <col min="45" max="45" width="6.36328125" bestFit="1" customWidth="1"/>
    <col min="46" max="46" width="6.90625" bestFit="1" customWidth="1"/>
    <col min="47" max="47" width="10.7265625" bestFit="1" customWidth="1"/>
    <col min="48" max="48" width="11.7265625" bestFit="1" customWidth="1"/>
    <col min="49" max="49" width="7.08984375" bestFit="1" customWidth="1"/>
    <col min="50" max="50" width="8.81640625" bestFit="1" customWidth="1"/>
    <col min="51" max="51" width="12" bestFit="1" customWidth="1"/>
    <col min="52" max="52" width="7.08984375" bestFit="1" customWidth="1"/>
    <col min="53" max="53" width="5.453125" bestFit="1" customWidth="1"/>
    <col min="54" max="54" width="6.90625" bestFit="1" customWidth="1"/>
    <col min="55" max="55" width="10.7265625" bestFit="1" customWidth="1"/>
    <col min="56" max="56" width="11.7265625" bestFit="1" customWidth="1"/>
    <col min="57" max="57" width="7.08984375" bestFit="1" customWidth="1"/>
    <col min="58" max="58" width="8.81640625" bestFit="1" customWidth="1"/>
    <col min="59" max="59" width="12" bestFit="1" customWidth="1"/>
    <col min="60" max="60" width="7.08984375" bestFit="1" customWidth="1"/>
    <col min="61" max="61" width="6.36328125" bestFit="1" customWidth="1"/>
    <col min="62" max="62" width="6.90625" bestFit="1" customWidth="1"/>
    <col min="63" max="63" width="10.7265625" bestFit="1" customWidth="1"/>
    <col min="64" max="64" width="11.7265625" bestFit="1" customWidth="1"/>
    <col min="65" max="65" width="7.08984375" bestFit="1" customWidth="1"/>
    <col min="66" max="66" width="8.81640625" bestFit="1" customWidth="1"/>
    <col min="67" max="67" width="12" bestFit="1" customWidth="1"/>
    <col min="68" max="68" width="7.08984375" bestFit="1" customWidth="1"/>
    <col min="69" max="69" width="6.6328125" bestFit="1" customWidth="1"/>
    <col min="70" max="70" width="6.90625" bestFit="1" customWidth="1"/>
    <col min="71" max="71" width="10.7265625" bestFit="1" customWidth="1"/>
    <col min="72" max="72" width="11.7265625" bestFit="1" customWidth="1"/>
    <col min="73" max="73" width="7.08984375" bestFit="1" customWidth="1"/>
    <col min="74" max="74" width="8.81640625" bestFit="1" customWidth="1"/>
    <col min="75" max="75" width="12" bestFit="1" customWidth="1"/>
    <col min="76" max="76" width="7.08984375" bestFit="1" customWidth="1"/>
    <col min="77" max="77" width="7" bestFit="1" customWidth="1"/>
    <col min="78" max="78" width="6.90625" bestFit="1" customWidth="1"/>
    <col min="79" max="79" width="10.7265625" bestFit="1" customWidth="1"/>
    <col min="80" max="80" width="11.7265625" bestFit="1" customWidth="1"/>
    <col min="81" max="81" width="7.08984375" bestFit="1" customWidth="1"/>
    <col min="82" max="82" width="8.81640625" bestFit="1" customWidth="1"/>
    <col min="83" max="83" width="12" bestFit="1" customWidth="1"/>
    <col min="84" max="84" width="7.08984375" bestFit="1" customWidth="1"/>
    <col min="85" max="85" width="6.453125" bestFit="1" customWidth="1"/>
    <col min="86" max="86" width="6.90625" bestFit="1" customWidth="1"/>
    <col min="87" max="87" width="10.7265625" bestFit="1" customWidth="1"/>
    <col min="88" max="88" width="11.7265625" bestFit="1" customWidth="1"/>
    <col min="89" max="89" width="7.08984375" bestFit="1" customWidth="1"/>
    <col min="90" max="90" width="8.81640625" bestFit="1" customWidth="1"/>
    <col min="91" max="91" width="12" bestFit="1" customWidth="1"/>
    <col min="92" max="92" width="7.08984375" bestFit="1" customWidth="1"/>
    <col min="93" max="93" width="6.81640625" bestFit="1" customWidth="1"/>
    <col min="94" max="94" width="6.90625" bestFit="1" customWidth="1"/>
    <col min="95" max="95" width="10.7265625" bestFit="1" customWidth="1"/>
    <col min="96" max="96" width="11.7265625" bestFit="1" customWidth="1"/>
    <col min="97" max="97" width="7.08984375" bestFit="1" customWidth="1"/>
    <col min="98" max="98" width="8.81640625" bestFit="1" customWidth="1"/>
    <col min="99" max="99" width="12" bestFit="1" customWidth="1"/>
    <col min="100" max="100" width="7.08984375" bestFit="1" customWidth="1"/>
    <col min="101" max="101" width="6.7265625" bestFit="1" customWidth="1"/>
    <col min="102" max="102" width="6.90625" bestFit="1" customWidth="1"/>
    <col min="103" max="103" width="10.7265625" bestFit="1" customWidth="1"/>
    <col min="104" max="104" width="11.7265625" bestFit="1" customWidth="1"/>
    <col min="105" max="105" width="7.08984375" bestFit="1" customWidth="1"/>
    <col min="106" max="106" width="8.81640625" bestFit="1" customWidth="1"/>
    <col min="107" max="107" width="12" bestFit="1" customWidth="1"/>
    <col min="108" max="108" width="7.08984375" bestFit="1" customWidth="1"/>
    <col min="109" max="109" width="6.36328125" bestFit="1" customWidth="1"/>
    <col min="110" max="110" width="6.90625" bestFit="1" customWidth="1"/>
    <col min="111" max="111" width="10.7265625" bestFit="1" customWidth="1"/>
    <col min="112" max="112" width="11.7265625" bestFit="1" customWidth="1"/>
    <col min="113" max="113" width="7.08984375" bestFit="1" customWidth="1"/>
    <col min="114" max="114" width="8.81640625" bestFit="1" customWidth="1"/>
    <col min="115" max="115" width="12" bestFit="1" customWidth="1"/>
    <col min="116" max="116" width="7.08984375" bestFit="1" customWidth="1"/>
    <col min="117" max="117" width="6.54296875" bestFit="1" customWidth="1"/>
    <col min="118" max="118" width="6.90625" bestFit="1" customWidth="1"/>
    <col min="119" max="119" width="10.7265625" bestFit="1" customWidth="1"/>
    <col min="120" max="120" width="11.7265625" bestFit="1" customWidth="1"/>
    <col min="121" max="121" width="7.08984375" bestFit="1" customWidth="1"/>
    <col min="122" max="122" width="8.81640625" bestFit="1" customWidth="1"/>
    <col min="123" max="123" width="12" bestFit="1" customWidth="1"/>
    <col min="124" max="124" width="7.08984375" bestFit="1" customWidth="1"/>
    <col min="125" max="125" width="7" bestFit="1" customWidth="1"/>
    <col min="126" max="126" width="6.90625" bestFit="1" customWidth="1"/>
    <col min="127" max="127" width="10.7265625" bestFit="1" customWidth="1"/>
    <col min="128" max="128" width="11.7265625" bestFit="1" customWidth="1"/>
    <col min="129" max="129" width="7.08984375" bestFit="1" customWidth="1"/>
    <col min="130" max="130" width="8.81640625" bestFit="1" customWidth="1"/>
    <col min="131" max="131" width="12" bestFit="1" customWidth="1"/>
    <col min="132" max="132" width="7.08984375" bestFit="1" customWidth="1"/>
    <col min="133" max="133" width="6.36328125" bestFit="1" customWidth="1"/>
    <col min="134" max="134" width="6.90625" bestFit="1" customWidth="1"/>
    <col min="135" max="135" width="10.7265625" bestFit="1" customWidth="1"/>
    <col min="136" max="136" width="11.7265625" bestFit="1" customWidth="1"/>
    <col min="137" max="137" width="7.08984375" bestFit="1" customWidth="1"/>
    <col min="138" max="138" width="8.81640625" bestFit="1" customWidth="1"/>
    <col min="139" max="139" width="12" bestFit="1" customWidth="1"/>
    <col min="140" max="140" width="7.08984375" bestFit="1" customWidth="1"/>
    <col min="141" max="142" width="6.90625" bestFit="1" customWidth="1"/>
    <col min="143" max="143" width="10.7265625" bestFit="1" customWidth="1"/>
    <col min="144" max="144" width="11.7265625" bestFit="1" customWidth="1"/>
    <col min="145" max="145" width="7.08984375" bestFit="1" customWidth="1"/>
    <col min="146" max="146" width="8.81640625" bestFit="1" customWidth="1"/>
    <col min="147" max="147" width="12" bestFit="1" customWidth="1"/>
    <col min="148" max="148" width="7.08984375" bestFit="1" customWidth="1"/>
    <col min="149" max="149" width="6.36328125" bestFit="1" customWidth="1"/>
    <col min="150" max="150" width="6.90625" bestFit="1" customWidth="1"/>
    <col min="151" max="151" width="10.7265625" bestFit="1" customWidth="1"/>
    <col min="152" max="152" width="11.7265625" bestFit="1" customWidth="1"/>
    <col min="153" max="153" width="7.08984375" bestFit="1" customWidth="1"/>
  </cols>
  <sheetData>
    <row r="1" spans="1:153" x14ac:dyDescent="0.35">
      <c r="A1" s="4" t="s">
        <v>38</v>
      </c>
      <c r="B1" s="4" t="s">
        <v>39</v>
      </c>
      <c r="C1" s="4" t="s">
        <v>39</v>
      </c>
      <c r="D1" s="4" t="s">
        <v>39</v>
      </c>
      <c r="E1" s="4" t="s">
        <v>39</v>
      </c>
      <c r="F1" s="4" t="s">
        <v>39</v>
      </c>
      <c r="G1" s="4" t="s">
        <v>39</v>
      </c>
      <c r="H1" s="4" t="s">
        <v>39</v>
      </c>
      <c r="I1" s="4" t="s">
        <v>39</v>
      </c>
      <c r="J1" s="4" t="s">
        <v>40</v>
      </c>
      <c r="K1" s="4" t="s">
        <v>40</v>
      </c>
      <c r="L1" s="4" t="s">
        <v>40</v>
      </c>
      <c r="M1" s="4" t="s">
        <v>40</v>
      </c>
      <c r="N1" s="4" t="s">
        <v>40</v>
      </c>
      <c r="O1" s="4" t="s">
        <v>40</v>
      </c>
      <c r="P1" s="4" t="s">
        <v>40</v>
      </c>
      <c r="Q1" s="4" t="s">
        <v>40</v>
      </c>
      <c r="R1" s="4" t="s">
        <v>40</v>
      </c>
      <c r="S1" s="4" t="s">
        <v>40</v>
      </c>
      <c r="T1" s="4" t="s">
        <v>40</v>
      </c>
      <c r="U1" s="4" t="s">
        <v>40</v>
      </c>
      <c r="V1" s="4" t="s">
        <v>40</v>
      </c>
      <c r="W1" s="4" t="s">
        <v>40</v>
      </c>
      <c r="X1" s="4" t="s">
        <v>40</v>
      </c>
      <c r="Y1" s="4" t="s">
        <v>40</v>
      </c>
      <c r="Z1" s="4" t="s">
        <v>41</v>
      </c>
      <c r="AA1" s="4" t="s">
        <v>41</v>
      </c>
      <c r="AB1" s="4" t="s">
        <v>41</v>
      </c>
      <c r="AC1" s="4" t="s">
        <v>41</v>
      </c>
      <c r="AD1" s="4" t="s">
        <v>41</v>
      </c>
      <c r="AE1" s="4" t="s">
        <v>41</v>
      </c>
      <c r="AF1" s="4" t="s">
        <v>41</v>
      </c>
      <c r="AG1" s="4" t="s">
        <v>41</v>
      </c>
      <c r="AH1" s="4" t="s">
        <v>41</v>
      </c>
      <c r="AI1" s="4" t="s">
        <v>41</v>
      </c>
      <c r="AJ1" s="4" t="s">
        <v>41</v>
      </c>
      <c r="AK1" s="4" t="s">
        <v>41</v>
      </c>
      <c r="AL1" s="4" t="s">
        <v>41</v>
      </c>
      <c r="AM1" s="4" t="s">
        <v>41</v>
      </c>
      <c r="AN1" s="4" t="s">
        <v>41</v>
      </c>
      <c r="AO1" s="4" t="s">
        <v>41</v>
      </c>
      <c r="AP1" s="4" t="s">
        <v>41</v>
      </c>
      <c r="AQ1" s="4" t="s">
        <v>41</v>
      </c>
      <c r="AR1" s="4" t="s">
        <v>41</v>
      </c>
      <c r="AS1" s="4" t="s">
        <v>41</v>
      </c>
      <c r="AT1" s="4" t="s">
        <v>41</v>
      </c>
      <c r="AU1" s="4" t="s">
        <v>41</v>
      </c>
      <c r="AV1" s="4" t="s">
        <v>41</v>
      </c>
      <c r="AW1" s="4" t="s">
        <v>41</v>
      </c>
      <c r="AX1" s="4" t="s">
        <v>41</v>
      </c>
      <c r="AY1" s="4" t="s">
        <v>41</v>
      </c>
      <c r="AZ1" s="4" t="s">
        <v>41</v>
      </c>
      <c r="BA1" s="4" t="s">
        <v>41</v>
      </c>
      <c r="BB1" s="4" t="s">
        <v>41</v>
      </c>
      <c r="BC1" s="4" t="s">
        <v>41</v>
      </c>
      <c r="BD1" s="4" t="s">
        <v>41</v>
      </c>
      <c r="BE1" s="4" t="s">
        <v>41</v>
      </c>
      <c r="BF1" s="4" t="s">
        <v>42</v>
      </c>
      <c r="BG1" s="4" t="s">
        <v>42</v>
      </c>
      <c r="BH1" s="4" t="s">
        <v>42</v>
      </c>
      <c r="BI1" s="4" t="s">
        <v>42</v>
      </c>
      <c r="BJ1" s="4" t="s">
        <v>42</v>
      </c>
      <c r="BK1" s="4" t="s">
        <v>42</v>
      </c>
      <c r="BL1" s="4" t="s">
        <v>42</v>
      </c>
      <c r="BM1" s="4" t="s">
        <v>42</v>
      </c>
      <c r="BN1" s="4" t="s">
        <v>42</v>
      </c>
      <c r="BO1" s="4" t="s">
        <v>42</v>
      </c>
      <c r="BP1" s="4" t="s">
        <v>42</v>
      </c>
      <c r="BQ1" s="4" t="s">
        <v>42</v>
      </c>
      <c r="BR1" s="4" t="s">
        <v>42</v>
      </c>
      <c r="BS1" s="4" t="s">
        <v>42</v>
      </c>
      <c r="BT1" s="4" t="s">
        <v>42</v>
      </c>
      <c r="BU1" s="4" t="s">
        <v>42</v>
      </c>
      <c r="BV1" s="4" t="s">
        <v>42</v>
      </c>
      <c r="BW1" s="4" t="s">
        <v>42</v>
      </c>
      <c r="BX1" s="4" t="s">
        <v>42</v>
      </c>
      <c r="BY1" s="4" t="s">
        <v>42</v>
      </c>
      <c r="BZ1" s="4" t="s">
        <v>42</v>
      </c>
      <c r="CA1" s="4" t="s">
        <v>42</v>
      </c>
      <c r="CB1" s="4" t="s">
        <v>42</v>
      </c>
      <c r="CC1" s="4" t="s">
        <v>42</v>
      </c>
      <c r="CD1" s="4" t="s">
        <v>42</v>
      </c>
      <c r="CE1" s="4" t="s">
        <v>42</v>
      </c>
      <c r="CF1" s="4" t="s">
        <v>42</v>
      </c>
      <c r="CG1" s="4" t="s">
        <v>42</v>
      </c>
      <c r="CH1" s="4" t="s">
        <v>42</v>
      </c>
      <c r="CI1" s="4" t="s">
        <v>42</v>
      </c>
      <c r="CJ1" s="4" t="s">
        <v>42</v>
      </c>
      <c r="CK1" s="4" t="s">
        <v>42</v>
      </c>
      <c r="CL1" s="4" t="s">
        <v>42</v>
      </c>
      <c r="CM1" s="4" t="s">
        <v>42</v>
      </c>
      <c r="CN1" s="4" t="s">
        <v>42</v>
      </c>
      <c r="CO1" s="4" t="s">
        <v>42</v>
      </c>
      <c r="CP1" s="4" t="s">
        <v>42</v>
      </c>
      <c r="CQ1" s="4" t="s">
        <v>42</v>
      </c>
      <c r="CR1" s="4" t="s">
        <v>42</v>
      </c>
      <c r="CS1" s="4" t="s">
        <v>42</v>
      </c>
      <c r="CT1" s="4" t="s">
        <v>42</v>
      </c>
      <c r="CU1" s="4" t="s">
        <v>42</v>
      </c>
      <c r="CV1" s="4" t="s">
        <v>42</v>
      </c>
      <c r="CW1" s="4" t="s">
        <v>42</v>
      </c>
      <c r="CX1" s="4" t="s">
        <v>42</v>
      </c>
      <c r="CY1" s="4" t="s">
        <v>42</v>
      </c>
      <c r="CZ1" s="4" t="s">
        <v>42</v>
      </c>
      <c r="DA1" s="4" t="s">
        <v>42</v>
      </c>
      <c r="DB1" s="4" t="s">
        <v>42</v>
      </c>
      <c r="DC1" s="4" t="s">
        <v>42</v>
      </c>
      <c r="DD1" s="4" t="s">
        <v>42</v>
      </c>
      <c r="DE1" s="4" t="s">
        <v>42</v>
      </c>
      <c r="DF1" s="4" t="s">
        <v>42</v>
      </c>
      <c r="DG1" s="4" t="s">
        <v>42</v>
      </c>
      <c r="DH1" s="4" t="s">
        <v>42</v>
      </c>
      <c r="DI1" s="4" t="s">
        <v>42</v>
      </c>
      <c r="DJ1" s="4" t="s">
        <v>42</v>
      </c>
      <c r="DK1" s="4" t="s">
        <v>42</v>
      </c>
      <c r="DL1" s="4" t="s">
        <v>42</v>
      </c>
      <c r="DM1" s="4" t="s">
        <v>42</v>
      </c>
      <c r="DN1" s="4" t="s">
        <v>42</v>
      </c>
      <c r="DO1" s="4" t="s">
        <v>42</v>
      </c>
      <c r="DP1" s="4" t="s">
        <v>42</v>
      </c>
      <c r="DQ1" s="4" t="s">
        <v>42</v>
      </c>
      <c r="DR1" s="4" t="s">
        <v>42</v>
      </c>
      <c r="DS1" s="4" t="s">
        <v>42</v>
      </c>
      <c r="DT1" s="4" t="s">
        <v>42</v>
      </c>
      <c r="DU1" s="4" t="s">
        <v>42</v>
      </c>
      <c r="DV1" s="4" t="s">
        <v>42</v>
      </c>
      <c r="DW1" s="4" t="s">
        <v>42</v>
      </c>
      <c r="DX1" s="4" t="s">
        <v>42</v>
      </c>
      <c r="DY1" s="4" t="s">
        <v>42</v>
      </c>
      <c r="DZ1" s="4" t="s">
        <v>42</v>
      </c>
      <c r="EA1" s="4" t="s">
        <v>42</v>
      </c>
      <c r="EB1" s="4" t="s">
        <v>42</v>
      </c>
      <c r="EC1" s="4" t="s">
        <v>42</v>
      </c>
      <c r="ED1" s="4" t="s">
        <v>42</v>
      </c>
      <c r="EE1" s="4" t="s">
        <v>42</v>
      </c>
      <c r="EF1" s="4" t="s">
        <v>42</v>
      </c>
      <c r="EG1" s="4" t="s">
        <v>42</v>
      </c>
      <c r="EH1" s="4" t="s">
        <v>42</v>
      </c>
      <c r="EI1" s="4" t="s">
        <v>42</v>
      </c>
      <c r="EJ1" s="4" t="s">
        <v>42</v>
      </c>
      <c r="EK1" s="4" t="s">
        <v>42</v>
      </c>
      <c r="EL1" s="4" t="s">
        <v>42</v>
      </c>
      <c r="EM1" s="4" t="s">
        <v>42</v>
      </c>
      <c r="EN1" s="4" t="s">
        <v>42</v>
      </c>
      <c r="EO1" s="4" t="s">
        <v>42</v>
      </c>
      <c r="EP1" s="4" t="s">
        <v>42</v>
      </c>
      <c r="EQ1" s="4" t="s">
        <v>42</v>
      </c>
      <c r="ER1" s="4" t="s">
        <v>42</v>
      </c>
      <c r="ES1" s="4" t="s">
        <v>42</v>
      </c>
      <c r="ET1" s="4" t="s">
        <v>42</v>
      </c>
      <c r="EU1" s="4" t="s">
        <v>42</v>
      </c>
      <c r="EV1" s="4" t="s">
        <v>42</v>
      </c>
      <c r="EW1" s="4" t="s">
        <v>42</v>
      </c>
    </row>
    <row r="2" spans="1:153" x14ac:dyDescent="0.35">
      <c r="A2" s="4" t="s">
        <v>43</v>
      </c>
      <c r="B2" s="4" t="s">
        <v>39</v>
      </c>
      <c r="C2" s="4" t="s">
        <v>39</v>
      </c>
      <c r="D2" s="4" t="s">
        <v>39</v>
      </c>
      <c r="E2" s="4" t="s">
        <v>39</v>
      </c>
      <c r="F2" s="4" t="s">
        <v>39</v>
      </c>
      <c r="G2" s="4" t="s">
        <v>39</v>
      </c>
      <c r="H2" s="4" t="s">
        <v>39</v>
      </c>
      <c r="I2" s="4" t="s">
        <v>39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2</v>
      </c>
      <c r="X2" s="4" t="s">
        <v>2</v>
      </c>
      <c r="Y2" s="4" t="s">
        <v>2</v>
      </c>
      <c r="Z2" s="4" t="s">
        <v>2</v>
      </c>
      <c r="AA2" s="4" t="s">
        <v>2</v>
      </c>
      <c r="AB2" s="4" t="s">
        <v>2</v>
      </c>
      <c r="AC2" s="4" t="s">
        <v>2</v>
      </c>
      <c r="AD2" s="4" t="s">
        <v>2</v>
      </c>
      <c r="AE2" s="4" t="s">
        <v>2</v>
      </c>
      <c r="AF2" s="4" t="s">
        <v>2</v>
      </c>
      <c r="AG2" s="4" t="s">
        <v>2</v>
      </c>
      <c r="AH2" s="4" t="s">
        <v>2</v>
      </c>
      <c r="AI2" s="4" t="s">
        <v>2</v>
      </c>
      <c r="AJ2" s="4" t="s">
        <v>2</v>
      </c>
      <c r="AK2" s="4" t="s">
        <v>2</v>
      </c>
      <c r="AL2" s="4" t="s">
        <v>2</v>
      </c>
      <c r="AM2" s="4" t="s">
        <v>2</v>
      </c>
      <c r="AN2" s="4" t="s">
        <v>2</v>
      </c>
      <c r="AO2" s="4" t="s">
        <v>2</v>
      </c>
      <c r="AP2" s="4" t="s">
        <v>2</v>
      </c>
      <c r="AQ2" s="4" t="s">
        <v>2</v>
      </c>
      <c r="AR2" s="4" t="s">
        <v>2</v>
      </c>
      <c r="AS2" s="4" t="s">
        <v>2</v>
      </c>
      <c r="AT2" s="4" t="s">
        <v>2</v>
      </c>
      <c r="AU2" s="4" t="s">
        <v>2</v>
      </c>
      <c r="AV2" s="4" t="s">
        <v>2</v>
      </c>
      <c r="AW2" s="4" t="s">
        <v>2</v>
      </c>
      <c r="AX2" s="4" t="s">
        <v>2</v>
      </c>
      <c r="AY2" s="4" t="s">
        <v>2</v>
      </c>
      <c r="AZ2" s="4" t="s">
        <v>2</v>
      </c>
      <c r="BA2" s="4" t="s">
        <v>2</v>
      </c>
      <c r="BB2" s="4" t="s">
        <v>2</v>
      </c>
      <c r="BC2" s="4" t="s">
        <v>2</v>
      </c>
      <c r="BD2" s="4" t="s">
        <v>2</v>
      </c>
      <c r="BE2" s="4" t="s">
        <v>2</v>
      </c>
      <c r="BF2" s="4" t="s">
        <v>2</v>
      </c>
      <c r="BG2" s="4" t="s">
        <v>2</v>
      </c>
      <c r="BH2" s="4" t="s">
        <v>2</v>
      </c>
      <c r="BI2" s="4" t="s">
        <v>2</v>
      </c>
      <c r="BJ2" s="4" t="s">
        <v>2</v>
      </c>
      <c r="BK2" s="4" t="s">
        <v>2</v>
      </c>
      <c r="BL2" s="4" t="s">
        <v>2</v>
      </c>
      <c r="BM2" s="4" t="s">
        <v>2</v>
      </c>
      <c r="BN2" s="4" t="s">
        <v>2</v>
      </c>
      <c r="BO2" s="4" t="s">
        <v>2</v>
      </c>
      <c r="BP2" s="4" t="s">
        <v>2</v>
      </c>
      <c r="BQ2" s="4" t="s">
        <v>2</v>
      </c>
      <c r="BR2" s="4" t="s">
        <v>2</v>
      </c>
      <c r="BS2" s="4" t="s">
        <v>2</v>
      </c>
      <c r="BT2" s="4" t="s">
        <v>2</v>
      </c>
      <c r="BU2" s="4" t="s">
        <v>2</v>
      </c>
      <c r="BV2" s="4" t="s">
        <v>2</v>
      </c>
      <c r="BW2" s="4" t="s">
        <v>2</v>
      </c>
      <c r="BX2" s="4" t="s">
        <v>2</v>
      </c>
      <c r="BY2" s="4" t="s">
        <v>2</v>
      </c>
      <c r="BZ2" s="4" t="s">
        <v>2</v>
      </c>
      <c r="CA2" s="4" t="s">
        <v>2</v>
      </c>
      <c r="CB2" s="4" t="s">
        <v>2</v>
      </c>
      <c r="CC2" s="4" t="s">
        <v>2</v>
      </c>
      <c r="CD2" s="4" t="s">
        <v>2</v>
      </c>
      <c r="CE2" s="4" t="s">
        <v>2</v>
      </c>
      <c r="CF2" s="4" t="s">
        <v>2</v>
      </c>
      <c r="CG2" s="4" t="s">
        <v>2</v>
      </c>
      <c r="CH2" s="4" t="s">
        <v>2</v>
      </c>
      <c r="CI2" s="4" t="s">
        <v>2</v>
      </c>
      <c r="CJ2" s="4" t="s">
        <v>2</v>
      </c>
      <c r="CK2" s="4" t="s">
        <v>2</v>
      </c>
      <c r="CL2" s="4" t="s">
        <v>2</v>
      </c>
      <c r="CM2" s="4" t="s">
        <v>2</v>
      </c>
      <c r="CN2" s="4" t="s">
        <v>2</v>
      </c>
      <c r="CO2" s="4" t="s">
        <v>2</v>
      </c>
      <c r="CP2" s="4" t="s">
        <v>2</v>
      </c>
      <c r="CQ2" s="4" t="s">
        <v>2</v>
      </c>
      <c r="CR2" s="4" t="s">
        <v>2</v>
      </c>
      <c r="CS2" s="4" t="s">
        <v>2</v>
      </c>
      <c r="CT2" s="4" t="s">
        <v>2</v>
      </c>
      <c r="CU2" s="4" t="s">
        <v>2</v>
      </c>
      <c r="CV2" s="4" t="s">
        <v>2</v>
      </c>
      <c r="CW2" s="4" t="s">
        <v>2</v>
      </c>
      <c r="CX2" s="4" t="s">
        <v>2</v>
      </c>
      <c r="CY2" s="4" t="s">
        <v>2</v>
      </c>
      <c r="CZ2" s="4" t="s">
        <v>2</v>
      </c>
      <c r="DA2" s="4" t="s">
        <v>2</v>
      </c>
      <c r="DB2" s="4" t="s">
        <v>2</v>
      </c>
      <c r="DC2" s="4" t="s">
        <v>2</v>
      </c>
      <c r="DD2" s="4" t="s">
        <v>2</v>
      </c>
      <c r="DE2" s="4" t="s">
        <v>2</v>
      </c>
      <c r="DF2" s="4" t="s">
        <v>2</v>
      </c>
      <c r="DG2" s="4" t="s">
        <v>2</v>
      </c>
      <c r="DH2" s="4" t="s">
        <v>2</v>
      </c>
      <c r="DI2" s="4" t="s">
        <v>2</v>
      </c>
      <c r="DJ2" s="4" t="s">
        <v>2</v>
      </c>
      <c r="DK2" s="4" t="s">
        <v>2</v>
      </c>
      <c r="DL2" s="4" t="s">
        <v>2</v>
      </c>
      <c r="DM2" s="4" t="s">
        <v>2</v>
      </c>
      <c r="DN2" s="4" t="s">
        <v>2</v>
      </c>
      <c r="DO2" s="4" t="s">
        <v>2</v>
      </c>
      <c r="DP2" s="4" t="s">
        <v>2</v>
      </c>
      <c r="DQ2" s="4" t="s">
        <v>2</v>
      </c>
      <c r="DR2" s="4" t="s">
        <v>2</v>
      </c>
      <c r="DS2" s="4" t="s">
        <v>2</v>
      </c>
      <c r="DT2" s="4" t="s">
        <v>2</v>
      </c>
      <c r="DU2" s="4" t="s">
        <v>2</v>
      </c>
      <c r="DV2" s="4" t="s">
        <v>2</v>
      </c>
      <c r="DW2" s="4" t="s">
        <v>2</v>
      </c>
      <c r="DX2" s="4" t="s">
        <v>2</v>
      </c>
      <c r="DY2" s="4" t="s">
        <v>2</v>
      </c>
      <c r="DZ2" s="4" t="s">
        <v>2</v>
      </c>
      <c r="EA2" s="4" t="s">
        <v>2</v>
      </c>
      <c r="EB2" s="4" t="s">
        <v>2</v>
      </c>
      <c r="EC2" s="4" t="s">
        <v>2</v>
      </c>
      <c r="ED2" s="4" t="s">
        <v>2</v>
      </c>
      <c r="EE2" s="4" t="s">
        <v>2</v>
      </c>
      <c r="EF2" s="4" t="s">
        <v>2</v>
      </c>
      <c r="EG2" s="4" t="s">
        <v>2</v>
      </c>
      <c r="EH2" s="4" t="s">
        <v>2</v>
      </c>
      <c r="EI2" s="4" t="s">
        <v>2</v>
      </c>
      <c r="EJ2" s="4" t="s">
        <v>2</v>
      </c>
      <c r="EK2" s="4" t="s">
        <v>2</v>
      </c>
      <c r="EL2" s="4" t="s">
        <v>2</v>
      </c>
      <c r="EM2" s="4" t="s">
        <v>2</v>
      </c>
      <c r="EN2" s="4" t="s">
        <v>2</v>
      </c>
      <c r="EO2" s="4" t="s">
        <v>2</v>
      </c>
      <c r="EP2" s="4" t="s">
        <v>2</v>
      </c>
      <c r="EQ2" s="4" t="s">
        <v>2</v>
      </c>
      <c r="ER2" s="4" t="s">
        <v>2</v>
      </c>
      <c r="ES2" s="4" t="s">
        <v>2</v>
      </c>
      <c r="ET2" s="4" t="s">
        <v>2</v>
      </c>
      <c r="EU2" s="4" t="s">
        <v>2</v>
      </c>
      <c r="EV2" s="4" t="s">
        <v>2</v>
      </c>
      <c r="EW2" s="4" t="s">
        <v>2</v>
      </c>
    </row>
    <row r="3" spans="1:153" x14ac:dyDescent="0.35">
      <c r="A3" s="4" t="s">
        <v>44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45</v>
      </c>
      <c r="K3" s="4" t="s">
        <v>45</v>
      </c>
      <c r="L3" s="4" t="s">
        <v>45</v>
      </c>
      <c r="M3" s="4" t="s">
        <v>45</v>
      </c>
      <c r="N3" s="4" t="s">
        <v>45</v>
      </c>
      <c r="O3" s="4" t="s">
        <v>45</v>
      </c>
      <c r="P3" s="4" t="s">
        <v>45</v>
      </c>
      <c r="Q3" s="4" t="s">
        <v>45</v>
      </c>
      <c r="R3" s="4" t="s">
        <v>46</v>
      </c>
      <c r="S3" s="4" t="s">
        <v>46</v>
      </c>
      <c r="T3" s="4" t="s">
        <v>46</v>
      </c>
      <c r="U3" s="4" t="s">
        <v>46</v>
      </c>
      <c r="V3" s="4" t="s">
        <v>46</v>
      </c>
      <c r="W3" s="4" t="s">
        <v>46</v>
      </c>
      <c r="X3" s="4" t="s">
        <v>46</v>
      </c>
      <c r="Y3" s="4" t="s">
        <v>46</v>
      </c>
      <c r="Z3" s="4" t="s">
        <v>47</v>
      </c>
      <c r="AA3" s="4" t="s">
        <v>47</v>
      </c>
      <c r="AB3" s="4" t="s">
        <v>47</v>
      </c>
      <c r="AC3" s="4" t="s">
        <v>47</v>
      </c>
      <c r="AD3" s="4" t="s">
        <v>47</v>
      </c>
      <c r="AE3" s="4" t="s">
        <v>47</v>
      </c>
      <c r="AF3" s="4" t="s">
        <v>47</v>
      </c>
      <c r="AG3" s="4" t="s">
        <v>47</v>
      </c>
      <c r="AH3" s="4" t="s">
        <v>48</v>
      </c>
      <c r="AI3" s="4" t="s">
        <v>48</v>
      </c>
      <c r="AJ3" s="4" t="s">
        <v>48</v>
      </c>
      <c r="AK3" s="4" t="s">
        <v>48</v>
      </c>
      <c r="AL3" s="4" t="s">
        <v>48</v>
      </c>
      <c r="AM3" s="4" t="s">
        <v>48</v>
      </c>
      <c r="AN3" s="4" t="s">
        <v>48</v>
      </c>
      <c r="AO3" s="4" t="s">
        <v>48</v>
      </c>
      <c r="AP3" s="4" t="s">
        <v>49</v>
      </c>
      <c r="AQ3" s="4" t="s">
        <v>49</v>
      </c>
      <c r="AR3" s="4" t="s">
        <v>49</v>
      </c>
      <c r="AS3" s="4" t="s">
        <v>49</v>
      </c>
      <c r="AT3" s="4" t="s">
        <v>49</v>
      </c>
      <c r="AU3" s="4" t="s">
        <v>49</v>
      </c>
      <c r="AV3" s="4" t="s">
        <v>49</v>
      </c>
      <c r="AW3" s="4" t="s">
        <v>49</v>
      </c>
      <c r="AX3" s="4" t="s">
        <v>50</v>
      </c>
      <c r="AY3" s="4" t="s">
        <v>50</v>
      </c>
      <c r="AZ3" s="4" t="s">
        <v>50</v>
      </c>
      <c r="BA3" s="4" t="s">
        <v>50</v>
      </c>
      <c r="BB3" s="4" t="s">
        <v>50</v>
      </c>
      <c r="BC3" s="4" t="s">
        <v>50</v>
      </c>
      <c r="BD3" s="4" t="s">
        <v>50</v>
      </c>
      <c r="BE3" s="4" t="s">
        <v>50</v>
      </c>
      <c r="BF3" s="4" t="s">
        <v>51</v>
      </c>
      <c r="BG3" s="4" t="s">
        <v>51</v>
      </c>
      <c r="BH3" s="4" t="s">
        <v>51</v>
      </c>
      <c r="BI3" s="4" t="s">
        <v>51</v>
      </c>
      <c r="BJ3" s="4" t="s">
        <v>51</v>
      </c>
      <c r="BK3" s="4" t="s">
        <v>51</v>
      </c>
      <c r="BL3" s="4" t="s">
        <v>51</v>
      </c>
      <c r="BM3" s="4" t="s">
        <v>51</v>
      </c>
      <c r="BN3" s="4" t="s">
        <v>52</v>
      </c>
      <c r="BO3" s="4" t="s">
        <v>52</v>
      </c>
      <c r="BP3" s="4" t="s">
        <v>52</v>
      </c>
      <c r="BQ3" s="4" t="s">
        <v>52</v>
      </c>
      <c r="BR3" s="4" t="s">
        <v>52</v>
      </c>
      <c r="BS3" s="4" t="s">
        <v>52</v>
      </c>
      <c r="BT3" s="4" t="s">
        <v>52</v>
      </c>
      <c r="BU3" s="4" t="s">
        <v>52</v>
      </c>
      <c r="BV3" s="4" t="s">
        <v>53</v>
      </c>
      <c r="BW3" s="4" t="s">
        <v>53</v>
      </c>
      <c r="BX3" s="4" t="s">
        <v>53</v>
      </c>
      <c r="BY3" s="4" t="s">
        <v>53</v>
      </c>
      <c r="BZ3" s="4" t="s">
        <v>53</v>
      </c>
      <c r="CA3" s="4" t="s">
        <v>53</v>
      </c>
      <c r="CB3" s="4" t="s">
        <v>53</v>
      </c>
      <c r="CC3" s="4" t="s">
        <v>53</v>
      </c>
      <c r="CD3" s="4" t="s">
        <v>54</v>
      </c>
      <c r="CE3" s="4" t="s">
        <v>54</v>
      </c>
      <c r="CF3" s="4" t="s">
        <v>54</v>
      </c>
      <c r="CG3" s="4" t="s">
        <v>54</v>
      </c>
      <c r="CH3" s="4" t="s">
        <v>54</v>
      </c>
      <c r="CI3" s="4" t="s">
        <v>54</v>
      </c>
      <c r="CJ3" s="4" t="s">
        <v>54</v>
      </c>
      <c r="CK3" s="4" t="s">
        <v>54</v>
      </c>
      <c r="CL3" s="4" t="s">
        <v>55</v>
      </c>
      <c r="CM3" s="4" t="s">
        <v>55</v>
      </c>
      <c r="CN3" s="4" t="s">
        <v>55</v>
      </c>
      <c r="CO3" s="4" t="s">
        <v>55</v>
      </c>
      <c r="CP3" s="4" t="s">
        <v>55</v>
      </c>
      <c r="CQ3" s="4" t="s">
        <v>55</v>
      </c>
      <c r="CR3" s="4" t="s">
        <v>55</v>
      </c>
      <c r="CS3" s="4" t="s">
        <v>55</v>
      </c>
      <c r="CT3" s="4" t="s">
        <v>56</v>
      </c>
      <c r="CU3" s="4" t="s">
        <v>56</v>
      </c>
      <c r="CV3" s="4" t="s">
        <v>56</v>
      </c>
      <c r="CW3" s="4" t="s">
        <v>56</v>
      </c>
      <c r="CX3" s="4" t="s">
        <v>56</v>
      </c>
      <c r="CY3" s="4" t="s">
        <v>56</v>
      </c>
      <c r="CZ3" s="4" t="s">
        <v>56</v>
      </c>
      <c r="DA3" s="4" t="s">
        <v>56</v>
      </c>
      <c r="DB3" s="4" t="s">
        <v>57</v>
      </c>
      <c r="DC3" s="4" t="s">
        <v>57</v>
      </c>
      <c r="DD3" s="4" t="s">
        <v>57</v>
      </c>
      <c r="DE3" s="4" t="s">
        <v>57</v>
      </c>
      <c r="DF3" s="4" t="s">
        <v>57</v>
      </c>
      <c r="DG3" s="4" t="s">
        <v>57</v>
      </c>
      <c r="DH3" s="4" t="s">
        <v>57</v>
      </c>
      <c r="DI3" s="4" t="s">
        <v>57</v>
      </c>
      <c r="DJ3" s="4" t="s">
        <v>58</v>
      </c>
      <c r="DK3" s="4" t="s">
        <v>58</v>
      </c>
      <c r="DL3" s="4" t="s">
        <v>58</v>
      </c>
      <c r="DM3" s="4" t="s">
        <v>58</v>
      </c>
      <c r="DN3" s="4" t="s">
        <v>58</v>
      </c>
      <c r="DO3" s="4" t="s">
        <v>58</v>
      </c>
      <c r="DP3" s="4" t="s">
        <v>58</v>
      </c>
      <c r="DQ3" s="4" t="s">
        <v>58</v>
      </c>
      <c r="DR3" s="4" t="s">
        <v>59</v>
      </c>
      <c r="DS3" s="4" t="s">
        <v>59</v>
      </c>
      <c r="DT3" s="4" t="s">
        <v>59</v>
      </c>
      <c r="DU3" s="4" t="s">
        <v>59</v>
      </c>
      <c r="DV3" s="4" t="s">
        <v>59</v>
      </c>
      <c r="DW3" s="4" t="s">
        <v>59</v>
      </c>
      <c r="DX3" s="4" t="s">
        <v>59</v>
      </c>
      <c r="DY3" s="4" t="s">
        <v>59</v>
      </c>
      <c r="DZ3" s="4" t="s">
        <v>60</v>
      </c>
      <c r="EA3" s="4" t="s">
        <v>60</v>
      </c>
      <c r="EB3" s="4" t="s">
        <v>60</v>
      </c>
      <c r="EC3" s="4" t="s">
        <v>60</v>
      </c>
      <c r="ED3" s="4" t="s">
        <v>60</v>
      </c>
      <c r="EE3" s="4" t="s">
        <v>60</v>
      </c>
      <c r="EF3" s="4" t="s">
        <v>60</v>
      </c>
      <c r="EG3" s="4" t="s">
        <v>60</v>
      </c>
      <c r="EH3" s="4" t="s">
        <v>61</v>
      </c>
      <c r="EI3" s="4" t="s">
        <v>61</v>
      </c>
      <c r="EJ3" s="4" t="s">
        <v>61</v>
      </c>
      <c r="EK3" s="4" t="s">
        <v>61</v>
      </c>
      <c r="EL3" s="4" t="s">
        <v>61</v>
      </c>
      <c r="EM3" s="4" t="s">
        <v>61</v>
      </c>
      <c r="EN3" s="4" t="s">
        <v>61</v>
      </c>
      <c r="EO3" s="4" t="s">
        <v>61</v>
      </c>
      <c r="EP3" s="4" t="s">
        <v>62</v>
      </c>
      <c r="EQ3" s="4" t="s">
        <v>62</v>
      </c>
      <c r="ER3" s="4" t="s">
        <v>62</v>
      </c>
      <c r="ES3" s="4" t="s">
        <v>62</v>
      </c>
      <c r="ET3" s="4" t="s">
        <v>62</v>
      </c>
      <c r="EU3" s="4" t="s">
        <v>62</v>
      </c>
      <c r="EV3" s="4" t="s">
        <v>62</v>
      </c>
      <c r="EW3" s="4" t="s">
        <v>62</v>
      </c>
    </row>
    <row r="4" spans="1:153" x14ac:dyDescent="0.35">
      <c r="A4" s="5" t="s">
        <v>63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  <c r="J4" s="5" t="s">
        <v>64</v>
      </c>
      <c r="K4" s="5" t="s">
        <v>65</v>
      </c>
      <c r="L4" s="5" t="s">
        <v>66</v>
      </c>
      <c r="M4" s="5" t="s">
        <v>67</v>
      </c>
      <c r="N4" s="5" t="s">
        <v>68</v>
      </c>
      <c r="O4" s="5" t="s">
        <v>69</v>
      </c>
      <c r="P4" s="5" t="s">
        <v>70</v>
      </c>
      <c r="Q4" s="5" t="s">
        <v>71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70</v>
      </c>
      <c r="Y4" s="5" t="s">
        <v>71</v>
      </c>
      <c r="Z4" s="5" t="s">
        <v>64</v>
      </c>
      <c r="AA4" s="5" t="s">
        <v>65</v>
      </c>
      <c r="AB4" s="5" t="s">
        <v>66</v>
      </c>
      <c r="AC4" s="5" t="s">
        <v>67</v>
      </c>
      <c r="AD4" s="5" t="s">
        <v>68</v>
      </c>
      <c r="AE4" s="5" t="s">
        <v>69</v>
      </c>
      <c r="AF4" s="5" t="s">
        <v>70</v>
      </c>
      <c r="AG4" s="5" t="s">
        <v>71</v>
      </c>
      <c r="AH4" s="5" t="s">
        <v>64</v>
      </c>
      <c r="AI4" s="5" t="s">
        <v>65</v>
      </c>
      <c r="AJ4" s="5" t="s">
        <v>66</v>
      </c>
      <c r="AK4" s="5" t="s">
        <v>67</v>
      </c>
      <c r="AL4" s="5" t="s">
        <v>68</v>
      </c>
      <c r="AM4" s="5" t="s">
        <v>69</v>
      </c>
      <c r="AN4" s="5" t="s">
        <v>70</v>
      </c>
      <c r="AO4" s="5" t="s">
        <v>71</v>
      </c>
      <c r="AP4" s="5" t="s">
        <v>64</v>
      </c>
      <c r="AQ4" s="5" t="s">
        <v>65</v>
      </c>
      <c r="AR4" s="5" t="s">
        <v>66</v>
      </c>
      <c r="AS4" s="5" t="s">
        <v>67</v>
      </c>
      <c r="AT4" s="5" t="s">
        <v>68</v>
      </c>
      <c r="AU4" s="5" t="s">
        <v>69</v>
      </c>
      <c r="AV4" s="5" t="s">
        <v>70</v>
      </c>
      <c r="AW4" s="5" t="s">
        <v>71</v>
      </c>
      <c r="AX4" s="5" t="s">
        <v>64</v>
      </c>
      <c r="AY4" s="5" t="s">
        <v>65</v>
      </c>
      <c r="AZ4" s="5" t="s">
        <v>66</v>
      </c>
      <c r="BA4" s="5" t="s">
        <v>67</v>
      </c>
      <c r="BB4" s="5" t="s">
        <v>68</v>
      </c>
      <c r="BC4" s="5" t="s">
        <v>69</v>
      </c>
      <c r="BD4" s="5" t="s">
        <v>70</v>
      </c>
      <c r="BE4" s="5" t="s">
        <v>71</v>
      </c>
      <c r="BF4" s="5" t="s">
        <v>64</v>
      </c>
      <c r="BG4" s="5" t="s">
        <v>65</v>
      </c>
      <c r="BH4" s="5" t="s">
        <v>66</v>
      </c>
      <c r="BI4" s="5" t="s">
        <v>67</v>
      </c>
      <c r="BJ4" s="5" t="s">
        <v>68</v>
      </c>
      <c r="BK4" s="5" t="s">
        <v>69</v>
      </c>
      <c r="BL4" s="5" t="s">
        <v>70</v>
      </c>
      <c r="BM4" s="5" t="s">
        <v>71</v>
      </c>
      <c r="BN4" s="5" t="s">
        <v>64</v>
      </c>
      <c r="BO4" s="5" t="s">
        <v>65</v>
      </c>
      <c r="BP4" s="5" t="s">
        <v>66</v>
      </c>
      <c r="BQ4" s="5" t="s">
        <v>67</v>
      </c>
      <c r="BR4" s="5" t="s">
        <v>68</v>
      </c>
      <c r="BS4" s="5" t="s">
        <v>69</v>
      </c>
      <c r="BT4" s="5" t="s">
        <v>70</v>
      </c>
      <c r="BU4" s="5" t="s">
        <v>71</v>
      </c>
      <c r="BV4" s="5" t="s">
        <v>64</v>
      </c>
      <c r="BW4" s="5" t="s">
        <v>65</v>
      </c>
      <c r="BX4" s="5" t="s">
        <v>66</v>
      </c>
      <c r="BY4" s="5" t="s">
        <v>67</v>
      </c>
      <c r="BZ4" s="5" t="s">
        <v>68</v>
      </c>
      <c r="CA4" s="5" t="s">
        <v>69</v>
      </c>
      <c r="CB4" s="5" t="s">
        <v>70</v>
      </c>
      <c r="CC4" s="5" t="s">
        <v>71</v>
      </c>
      <c r="CD4" s="5" t="s">
        <v>64</v>
      </c>
      <c r="CE4" s="5" t="s">
        <v>65</v>
      </c>
      <c r="CF4" s="5" t="s">
        <v>66</v>
      </c>
      <c r="CG4" s="5" t="s">
        <v>67</v>
      </c>
      <c r="CH4" s="5" t="s">
        <v>68</v>
      </c>
      <c r="CI4" s="5" t="s">
        <v>69</v>
      </c>
      <c r="CJ4" s="5" t="s">
        <v>70</v>
      </c>
      <c r="CK4" s="5" t="s">
        <v>71</v>
      </c>
      <c r="CL4" s="5" t="s">
        <v>64</v>
      </c>
      <c r="CM4" s="5" t="s">
        <v>65</v>
      </c>
      <c r="CN4" s="5" t="s">
        <v>66</v>
      </c>
      <c r="CO4" s="5" t="s">
        <v>67</v>
      </c>
      <c r="CP4" s="5" t="s">
        <v>68</v>
      </c>
      <c r="CQ4" s="5" t="s">
        <v>69</v>
      </c>
      <c r="CR4" s="5" t="s">
        <v>70</v>
      </c>
      <c r="CS4" s="5" t="s">
        <v>71</v>
      </c>
      <c r="CT4" s="5" t="s">
        <v>64</v>
      </c>
      <c r="CU4" s="5" t="s">
        <v>65</v>
      </c>
      <c r="CV4" s="5" t="s">
        <v>66</v>
      </c>
      <c r="CW4" s="5" t="s">
        <v>67</v>
      </c>
      <c r="CX4" s="5" t="s">
        <v>68</v>
      </c>
      <c r="CY4" s="5" t="s">
        <v>69</v>
      </c>
      <c r="CZ4" s="5" t="s">
        <v>70</v>
      </c>
      <c r="DA4" s="5" t="s">
        <v>71</v>
      </c>
      <c r="DB4" s="5" t="s">
        <v>64</v>
      </c>
      <c r="DC4" s="5" t="s">
        <v>65</v>
      </c>
      <c r="DD4" s="5" t="s">
        <v>66</v>
      </c>
      <c r="DE4" s="5" t="s">
        <v>67</v>
      </c>
      <c r="DF4" s="5" t="s">
        <v>68</v>
      </c>
      <c r="DG4" s="5" t="s">
        <v>69</v>
      </c>
      <c r="DH4" s="5" t="s">
        <v>70</v>
      </c>
      <c r="DI4" s="5" t="s">
        <v>71</v>
      </c>
      <c r="DJ4" s="5" t="s">
        <v>64</v>
      </c>
      <c r="DK4" s="5" t="s">
        <v>65</v>
      </c>
      <c r="DL4" s="5" t="s">
        <v>66</v>
      </c>
      <c r="DM4" s="5" t="s">
        <v>67</v>
      </c>
      <c r="DN4" s="5" t="s">
        <v>68</v>
      </c>
      <c r="DO4" s="5" t="s">
        <v>69</v>
      </c>
      <c r="DP4" s="5" t="s">
        <v>70</v>
      </c>
      <c r="DQ4" s="5" t="s">
        <v>71</v>
      </c>
      <c r="DR4" s="5" t="s">
        <v>64</v>
      </c>
      <c r="DS4" s="5" t="s">
        <v>65</v>
      </c>
      <c r="DT4" s="5" t="s">
        <v>66</v>
      </c>
      <c r="DU4" s="5" t="s">
        <v>67</v>
      </c>
      <c r="DV4" s="5" t="s">
        <v>68</v>
      </c>
      <c r="DW4" s="5" t="s">
        <v>69</v>
      </c>
      <c r="DX4" s="5" t="s">
        <v>70</v>
      </c>
      <c r="DY4" s="5" t="s">
        <v>71</v>
      </c>
      <c r="DZ4" s="5" t="s">
        <v>64</v>
      </c>
      <c r="EA4" s="5" t="s">
        <v>65</v>
      </c>
      <c r="EB4" s="5" t="s">
        <v>66</v>
      </c>
      <c r="EC4" s="5" t="s">
        <v>67</v>
      </c>
      <c r="ED4" s="5" t="s">
        <v>68</v>
      </c>
      <c r="EE4" s="5" t="s">
        <v>69</v>
      </c>
      <c r="EF4" s="5" t="s">
        <v>70</v>
      </c>
      <c r="EG4" s="5" t="s">
        <v>71</v>
      </c>
      <c r="EH4" s="5" t="s">
        <v>64</v>
      </c>
      <c r="EI4" s="5" t="s">
        <v>65</v>
      </c>
      <c r="EJ4" s="5" t="s">
        <v>66</v>
      </c>
      <c r="EK4" s="5" t="s">
        <v>67</v>
      </c>
      <c r="EL4" s="5" t="s">
        <v>68</v>
      </c>
      <c r="EM4" s="5" t="s">
        <v>69</v>
      </c>
      <c r="EN4" s="5" t="s">
        <v>70</v>
      </c>
      <c r="EO4" s="5" t="s">
        <v>71</v>
      </c>
      <c r="EP4" s="5" t="s">
        <v>64</v>
      </c>
      <c r="EQ4" s="5" t="s">
        <v>65</v>
      </c>
      <c r="ER4" s="5" t="s">
        <v>66</v>
      </c>
      <c r="ES4" s="5" t="s">
        <v>67</v>
      </c>
      <c r="ET4" s="5" t="s">
        <v>68</v>
      </c>
      <c r="EU4" s="5" t="s">
        <v>69</v>
      </c>
      <c r="EV4" s="5" t="s">
        <v>70</v>
      </c>
      <c r="EW4" s="5" t="s">
        <v>71</v>
      </c>
    </row>
    <row r="5" spans="1:153" x14ac:dyDescent="0.35">
      <c r="A5" s="7" t="s">
        <v>24</v>
      </c>
      <c r="B5" s="15">
        <v>17432.942390063476</v>
      </c>
      <c r="C5" s="15">
        <v>21309.605984127047</v>
      </c>
      <c r="D5" s="14">
        <v>-0.18192094198978581</v>
      </c>
      <c r="E5" s="15">
        <v>-3876.6635940635715</v>
      </c>
      <c r="F5" s="16">
        <v>-8.4220260706810102E-2</v>
      </c>
      <c r="G5" s="14">
        <v>8.2978284443415262E-2</v>
      </c>
      <c r="H5" s="14">
        <v>5.3334870839152781E-2</v>
      </c>
      <c r="I5" s="17"/>
      <c r="J5" s="15">
        <v>10119.850790063478</v>
      </c>
      <c r="K5" s="15">
        <v>12640.571382976532</v>
      </c>
      <c r="L5" s="14">
        <v>-0.19941508311149514</v>
      </c>
      <c r="M5" s="15">
        <v>-2520.7205929130541</v>
      </c>
      <c r="N5" s="16">
        <v>-8.4220260706810102E-2</v>
      </c>
      <c r="O5" s="14">
        <v>8.2978284443415262E-2</v>
      </c>
      <c r="P5" s="14">
        <v>5.3334870839152781E-2</v>
      </c>
      <c r="Q5" s="17"/>
      <c r="R5" s="15">
        <v>7313.0915999999997</v>
      </c>
      <c r="S5" s="15">
        <v>8669.0346011505135</v>
      </c>
      <c r="T5" s="14">
        <v>-0.1564122262207327</v>
      </c>
      <c r="U5" s="15">
        <v>-1355.9430011505137</v>
      </c>
      <c r="V5" s="16"/>
      <c r="W5" s="14"/>
      <c r="X5" s="14"/>
      <c r="Y5" s="17"/>
      <c r="Z5" s="15">
        <v>5451.4535900634773</v>
      </c>
      <c r="AA5" s="15">
        <v>8020.9307588882448</v>
      </c>
      <c r="AB5" s="14">
        <v>-0.32034650916010587</v>
      </c>
      <c r="AC5" s="15">
        <v>-2569.4771688247674</v>
      </c>
      <c r="AD5" s="16">
        <v>-8.4220260706810102E-2</v>
      </c>
      <c r="AE5" s="14">
        <v>8.2978284443415262E-2</v>
      </c>
      <c r="AF5" s="14">
        <v>5.3334870839152781E-2</v>
      </c>
      <c r="AG5" s="17"/>
      <c r="AH5" s="15">
        <v>4668.3972000000003</v>
      </c>
      <c r="AI5" s="15">
        <v>4619.640624088288</v>
      </c>
      <c r="AJ5" s="14">
        <v>1.0554192388360528E-2</v>
      </c>
      <c r="AK5" s="15">
        <v>48.756575911712389</v>
      </c>
      <c r="AL5" s="16"/>
      <c r="AM5" s="14"/>
      <c r="AN5" s="14"/>
      <c r="AO5" s="17"/>
      <c r="AP5" s="15">
        <v>3638.3915999999999</v>
      </c>
      <c r="AQ5" s="15">
        <v>4553.6225942001347</v>
      </c>
      <c r="AR5" s="14">
        <v>-0.2009896462139501</v>
      </c>
      <c r="AS5" s="15">
        <v>-915.23099420013477</v>
      </c>
      <c r="AT5" s="16"/>
      <c r="AU5" s="14"/>
      <c r="AV5" s="14"/>
      <c r="AW5" s="17"/>
      <c r="AX5" s="15">
        <v>3674.6999999999994</v>
      </c>
      <c r="AY5" s="15">
        <v>4115.4120069503788</v>
      </c>
      <c r="AZ5" s="14">
        <v>-0.10708818611747151</v>
      </c>
      <c r="BA5" s="15">
        <v>-440.71200695037942</v>
      </c>
      <c r="BB5" s="16"/>
      <c r="BC5" s="14"/>
      <c r="BD5" s="14"/>
      <c r="BE5" s="17"/>
      <c r="BF5" s="15">
        <v>1652.8301982345581</v>
      </c>
      <c r="BG5" s="15">
        <v>2580.7157800445557</v>
      </c>
      <c r="BH5" s="14">
        <v>-0.35954582406357738</v>
      </c>
      <c r="BI5" s="15">
        <v>-927.88558180999757</v>
      </c>
      <c r="BJ5" s="16">
        <v>-2.7936383463621484E-2</v>
      </c>
      <c r="BK5" s="14">
        <v>1.4773689562117553E-3</v>
      </c>
      <c r="BL5" s="14">
        <v>0.11622796916435485</v>
      </c>
      <c r="BM5" s="17"/>
      <c r="BN5" s="15">
        <v>1516.87019821167</v>
      </c>
      <c r="BO5" s="15">
        <v>1769.4629916992187</v>
      </c>
      <c r="BP5" s="14">
        <v>-0.14275110283317283</v>
      </c>
      <c r="BQ5" s="15">
        <v>-252.59279348754876</v>
      </c>
      <c r="BR5" s="16">
        <v>-0.13063290627652258</v>
      </c>
      <c r="BS5" s="14">
        <v>8.2978284443415262E-2</v>
      </c>
      <c r="BT5" s="14">
        <v>5.3334870839152781E-2</v>
      </c>
      <c r="BU5" s="17"/>
      <c r="BV5" s="15">
        <v>2281.7531936172491</v>
      </c>
      <c r="BW5" s="15">
        <v>3670.7519871444701</v>
      </c>
      <c r="BX5" s="14">
        <v>-0.37839625188291282</v>
      </c>
      <c r="BY5" s="15">
        <v>-1388.9987935272211</v>
      </c>
      <c r="BZ5" s="16"/>
      <c r="CA5" s="14"/>
      <c r="CB5" s="14"/>
      <c r="CC5" s="17"/>
      <c r="CD5" s="15">
        <v>1907.9843999999998</v>
      </c>
      <c r="CE5" s="15">
        <v>1844.2344066047669</v>
      </c>
      <c r="CF5" s="14">
        <v>3.4567185801829048E-2</v>
      </c>
      <c r="CG5" s="15">
        <v>63.749993395232877</v>
      </c>
      <c r="CH5" s="16"/>
      <c r="CI5" s="14"/>
      <c r="CJ5" s="14"/>
      <c r="CK5" s="17"/>
      <c r="CL5" s="15">
        <v>935.15280000000007</v>
      </c>
      <c r="CM5" s="15">
        <v>768.7662112350464</v>
      </c>
      <c r="CN5" s="14">
        <v>0.216433274945381</v>
      </c>
      <c r="CO5" s="15">
        <v>166.38658876495367</v>
      </c>
      <c r="CP5" s="16"/>
      <c r="CQ5" s="14"/>
      <c r="CR5" s="14"/>
      <c r="CS5" s="17"/>
      <c r="CT5" s="15">
        <v>1825.26</v>
      </c>
      <c r="CU5" s="15">
        <v>2006.640006248474</v>
      </c>
      <c r="CV5" s="14">
        <v>-9.0389908346128367E-2</v>
      </c>
      <c r="CW5" s="15">
        <v>-181.38000624847405</v>
      </c>
      <c r="CX5" s="16"/>
      <c r="CY5" s="14"/>
      <c r="CZ5" s="14"/>
      <c r="DA5" s="17"/>
      <c r="DB5" s="15">
        <v>637.34519999999998</v>
      </c>
      <c r="DC5" s="15">
        <v>501.01860336303713</v>
      </c>
      <c r="DD5" s="14">
        <v>0.27209887162249902</v>
      </c>
      <c r="DE5" s="15">
        <v>136.32659663696285</v>
      </c>
      <c r="DF5" s="16"/>
      <c r="DG5" s="14"/>
      <c r="DH5" s="14"/>
      <c r="DI5" s="17"/>
      <c r="DJ5" s="15">
        <v>1091.7360000000001</v>
      </c>
      <c r="DK5" s="15">
        <v>971.74739671325688</v>
      </c>
      <c r="DL5" s="14">
        <v>0.1234771543433828</v>
      </c>
      <c r="DM5" s="15">
        <v>119.98860328674323</v>
      </c>
      <c r="DN5" s="16"/>
      <c r="DO5" s="14"/>
      <c r="DP5" s="14"/>
      <c r="DQ5" s="17"/>
      <c r="DR5" s="15">
        <v>1909.3104000000001</v>
      </c>
      <c r="DS5" s="15">
        <v>3080.8565941238403</v>
      </c>
      <c r="DT5" s="14">
        <v>-0.38026638317354544</v>
      </c>
      <c r="DU5" s="15">
        <v>-1171.5461941238402</v>
      </c>
      <c r="DV5" s="16"/>
      <c r="DW5" s="14"/>
      <c r="DX5" s="14"/>
      <c r="DY5" s="17"/>
      <c r="DZ5" s="15">
        <v>894.43559999999991</v>
      </c>
      <c r="EA5" s="15">
        <v>732.4692006530762</v>
      </c>
      <c r="EB5" s="14">
        <v>0.22112383592718032</v>
      </c>
      <c r="EC5" s="15">
        <v>161.96639934692371</v>
      </c>
      <c r="ED5" s="16"/>
      <c r="EE5" s="14"/>
      <c r="EF5" s="14"/>
      <c r="EG5" s="17"/>
      <c r="EH5" s="15">
        <v>1152.0203999999999</v>
      </c>
      <c r="EI5" s="15">
        <v>1343.7707967681886</v>
      </c>
      <c r="EJ5" s="14">
        <v>-0.14269576123350391</v>
      </c>
      <c r="EK5" s="15">
        <v>-191.75039676818869</v>
      </c>
      <c r="EL5" s="16"/>
      <c r="EM5" s="14"/>
      <c r="EN5" s="14"/>
      <c r="EO5" s="17"/>
      <c r="EP5" s="15">
        <v>1628.2439999999997</v>
      </c>
      <c r="EQ5" s="15">
        <v>2039.1720095291137</v>
      </c>
      <c r="ER5" s="14">
        <v>-0.20151709007814667</v>
      </c>
      <c r="ES5" s="15">
        <v>-410.92800952911398</v>
      </c>
      <c r="ET5" s="16"/>
      <c r="EU5" s="14"/>
      <c r="EV5" s="14"/>
      <c r="EW5" s="17"/>
    </row>
    <row r="6" spans="1:153" x14ac:dyDescent="0.35">
      <c r="A6" s="7" t="s">
        <v>26</v>
      </c>
      <c r="B6" s="15">
        <v>8003.2482209163918</v>
      </c>
      <c r="C6" s="15">
        <v>9991.5594032440185</v>
      </c>
      <c r="D6" s="14">
        <v>-0.19899908533617572</v>
      </c>
      <c r="E6" s="15">
        <v>-1988.3111823276267</v>
      </c>
      <c r="F6" s="16">
        <v>-0.18301774757537759</v>
      </c>
      <c r="G6" s="14">
        <v>0.36582978847616676</v>
      </c>
      <c r="H6" s="14">
        <v>1.8480469230584617</v>
      </c>
      <c r="I6" s="17">
        <v>2.738</v>
      </c>
      <c r="J6" s="15">
        <v>4380.3954209163921</v>
      </c>
      <c r="K6" s="15">
        <v>5975.3777925720206</v>
      </c>
      <c r="L6" s="14">
        <v>-0.2669257789253674</v>
      </c>
      <c r="M6" s="15">
        <v>-1594.9823716556284</v>
      </c>
      <c r="N6" s="16">
        <v>-0.18301774757537759</v>
      </c>
      <c r="O6" s="14">
        <v>0.36582978847616676</v>
      </c>
      <c r="P6" s="14">
        <v>1.8480469230584617</v>
      </c>
      <c r="Q6" s="17">
        <v>2.738</v>
      </c>
      <c r="R6" s="15">
        <v>3622.8527999999997</v>
      </c>
      <c r="S6" s="15">
        <v>4016.1816106719975</v>
      </c>
      <c r="T6" s="14">
        <v>-9.793601206350433E-2</v>
      </c>
      <c r="U6" s="15">
        <v>-393.32881067199787</v>
      </c>
      <c r="V6" s="16"/>
      <c r="W6" s="14"/>
      <c r="X6" s="14"/>
      <c r="Y6" s="17"/>
      <c r="Z6" s="15">
        <v>2304.3162209163925</v>
      </c>
      <c r="AA6" s="15">
        <v>3936.7295989761351</v>
      </c>
      <c r="AB6" s="14">
        <v>-0.41466230713034014</v>
      </c>
      <c r="AC6" s="15">
        <v>-1632.4133780597426</v>
      </c>
      <c r="AD6" s="16">
        <v>-0.18301774757537759</v>
      </c>
      <c r="AE6" s="14">
        <v>0.36582978847616676</v>
      </c>
      <c r="AF6" s="14">
        <v>1.8480469230584617</v>
      </c>
      <c r="AG6" s="17">
        <v>2.738</v>
      </c>
      <c r="AH6" s="15">
        <v>2076.0791999999997</v>
      </c>
      <c r="AI6" s="15">
        <v>2038.6481935958861</v>
      </c>
      <c r="AJ6" s="14">
        <v>1.8360699272045977E-2</v>
      </c>
      <c r="AK6" s="15">
        <v>37.431006404113532</v>
      </c>
      <c r="AL6" s="16"/>
      <c r="AM6" s="14"/>
      <c r="AN6" s="14"/>
      <c r="AO6" s="17"/>
      <c r="AP6" s="15">
        <v>2126.5248000000001</v>
      </c>
      <c r="AQ6" s="15">
        <v>2199.5358059158325</v>
      </c>
      <c r="AR6" s="14">
        <v>-3.3193824678581341E-2</v>
      </c>
      <c r="AS6" s="15">
        <v>-73.011005915832357</v>
      </c>
      <c r="AT6" s="16"/>
      <c r="AU6" s="14"/>
      <c r="AV6" s="14"/>
      <c r="AW6" s="17"/>
      <c r="AX6" s="15">
        <v>1496.328</v>
      </c>
      <c r="AY6" s="15">
        <v>1816.6458047561646</v>
      </c>
      <c r="AZ6" s="14">
        <v>-0.17632375222376306</v>
      </c>
      <c r="BA6" s="15">
        <v>-320.31780475616461</v>
      </c>
      <c r="BB6" s="16"/>
      <c r="BC6" s="14"/>
      <c r="BD6" s="14"/>
      <c r="BE6" s="17"/>
      <c r="BF6" s="15">
        <v>668.66160028076172</v>
      </c>
      <c r="BG6" s="15">
        <v>1044.4559972381592</v>
      </c>
      <c r="BH6" s="14">
        <v>-0.35979916621773012</v>
      </c>
      <c r="BI6" s="15">
        <v>-375.79439695739745</v>
      </c>
      <c r="BJ6" s="16">
        <v>-9.1889052847460184E-2</v>
      </c>
      <c r="BK6" s="14">
        <v>1.2109279789667431</v>
      </c>
      <c r="BL6" s="14">
        <v>4.0744869083103721</v>
      </c>
      <c r="BM6" s="17">
        <v>4.2999999999999997E-2</v>
      </c>
      <c r="BN6" s="15">
        <v>582.99479778289799</v>
      </c>
      <c r="BO6" s="15">
        <v>1247.8871927490234</v>
      </c>
      <c r="BP6" s="14">
        <v>-0.53281450344995196</v>
      </c>
      <c r="BQ6" s="15">
        <v>-664.89239496612538</v>
      </c>
      <c r="BR6" s="16">
        <v>-0.25451833827194426</v>
      </c>
      <c r="BS6" s="14">
        <v>0.36582978847616676</v>
      </c>
      <c r="BT6" s="14">
        <v>1.8480469230584617</v>
      </c>
      <c r="BU6" s="17">
        <v>2.6949999999999998</v>
      </c>
      <c r="BV6" s="15">
        <v>1052.6598228527328</v>
      </c>
      <c r="BW6" s="15">
        <v>1644.3864089889526</v>
      </c>
      <c r="BX6" s="14">
        <v>-0.35984643445213216</v>
      </c>
      <c r="BY6" s="15">
        <v>-591.72658613621979</v>
      </c>
      <c r="BZ6" s="16"/>
      <c r="CA6" s="14"/>
      <c r="CB6" s="14"/>
      <c r="CC6" s="17"/>
      <c r="CD6" s="15">
        <v>803.36399999999992</v>
      </c>
      <c r="CE6" s="15">
        <v>917.42100063323971</v>
      </c>
      <c r="CF6" s="14">
        <v>-0.12432351183863577</v>
      </c>
      <c r="CG6" s="15">
        <v>-114.0570006332398</v>
      </c>
      <c r="CH6" s="16"/>
      <c r="CI6" s="14"/>
      <c r="CJ6" s="14"/>
      <c r="CK6" s="17"/>
      <c r="CL6" s="15">
        <v>527.54160000000002</v>
      </c>
      <c r="CM6" s="15">
        <v>493.61099266052247</v>
      </c>
      <c r="CN6" s="14">
        <v>6.8739569912319665E-2</v>
      </c>
      <c r="CO6" s="15">
        <v>33.930607339477547</v>
      </c>
      <c r="CP6" s="16"/>
      <c r="CQ6" s="14"/>
      <c r="CR6" s="14"/>
      <c r="CS6" s="17"/>
      <c r="CT6" s="15">
        <v>745.17359999999985</v>
      </c>
      <c r="CU6" s="15">
        <v>627.61620030212407</v>
      </c>
      <c r="CV6" s="14">
        <v>0.18730778402674364</v>
      </c>
      <c r="CW6" s="15">
        <v>117.55739969787578</v>
      </c>
      <c r="CX6" s="16"/>
      <c r="CY6" s="14"/>
      <c r="CZ6" s="14"/>
      <c r="DA6" s="17"/>
      <c r="DB6" s="15">
        <v>446.5224</v>
      </c>
      <c r="DC6" s="15">
        <v>495.30360316467284</v>
      </c>
      <c r="DD6" s="14">
        <v>-9.8487478897775427E-2</v>
      </c>
      <c r="DE6" s="15">
        <v>-48.781203164672831</v>
      </c>
      <c r="DF6" s="16"/>
      <c r="DG6" s="14"/>
      <c r="DH6" s="14"/>
      <c r="DI6" s="17"/>
      <c r="DJ6" s="15">
        <v>611.40959999999995</v>
      </c>
      <c r="DK6" s="15">
        <v>479.98980371856692</v>
      </c>
      <c r="DL6" s="14">
        <v>0.27379705831936496</v>
      </c>
      <c r="DM6" s="15">
        <v>131.41979628143304</v>
      </c>
      <c r="DN6" s="16"/>
      <c r="DO6" s="14"/>
      <c r="DP6" s="14"/>
      <c r="DQ6" s="17"/>
      <c r="DR6" s="15">
        <v>1068.5927999999999</v>
      </c>
      <c r="DS6" s="15">
        <v>1224.2423990325929</v>
      </c>
      <c r="DT6" s="14">
        <v>-0.12713952658034766</v>
      </c>
      <c r="DU6" s="15">
        <v>-155.64959903259296</v>
      </c>
      <c r="DV6" s="16"/>
      <c r="DW6" s="14"/>
      <c r="DX6" s="14"/>
      <c r="DY6" s="17"/>
      <c r="DZ6" s="15">
        <v>360.95519999999993</v>
      </c>
      <c r="EA6" s="15">
        <v>322.06380111694335</v>
      </c>
      <c r="EB6" s="14">
        <v>0.12075681510364733</v>
      </c>
      <c r="EC6" s="15">
        <v>38.891398883056581</v>
      </c>
      <c r="ED6" s="16"/>
      <c r="EE6" s="14"/>
      <c r="EF6" s="14"/>
      <c r="EG6" s="17"/>
      <c r="EH6" s="15">
        <v>454.1352</v>
      </c>
      <c r="EI6" s="15">
        <v>754.69920486450201</v>
      </c>
      <c r="EJ6" s="14">
        <v>-0.39825668680605664</v>
      </c>
      <c r="EK6" s="15">
        <v>-300.56400486450201</v>
      </c>
      <c r="EL6" s="16"/>
      <c r="EM6" s="14"/>
      <c r="EN6" s="14"/>
      <c r="EO6" s="17"/>
      <c r="EP6" s="15">
        <v>681.23760000000004</v>
      </c>
      <c r="EQ6" s="15">
        <v>739.88279877471928</v>
      </c>
      <c r="ER6" s="14">
        <v>-7.9262822262983312E-2</v>
      </c>
      <c r="ES6" s="15">
        <v>-58.645198774719233</v>
      </c>
      <c r="ET6" s="16"/>
      <c r="EU6" s="14"/>
      <c r="EV6" s="14"/>
      <c r="EW6" s="17"/>
    </row>
    <row r="7" spans="1:153" x14ac:dyDescent="0.35">
      <c r="A7" s="7" t="s">
        <v>23</v>
      </c>
      <c r="B7" s="15">
        <v>7756.2149702041625</v>
      </c>
      <c r="C7" s="15">
        <v>5986.869011148453</v>
      </c>
      <c r="D7" s="14">
        <v>0.29553777705189854</v>
      </c>
      <c r="E7" s="15">
        <v>1769.3459590557095</v>
      </c>
      <c r="F7" s="16">
        <v>9.107643392042819E-2</v>
      </c>
      <c r="G7" s="14">
        <v>0.6843722785476487</v>
      </c>
      <c r="H7" s="14">
        <v>0.13871824746287409</v>
      </c>
      <c r="I7" s="17"/>
      <c r="J7" s="15">
        <v>5538.6869702041622</v>
      </c>
      <c r="K7" s="15">
        <v>3764.5638041782377</v>
      </c>
      <c r="L7" s="14">
        <v>0.47126925144869358</v>
      </c>
      <c r="M7" s="15">
        <v>1774.1231660259245</v>
      </c>
      <c r="N7" s="16">
        <v>9.107643392042819E-2</v>
      </c>
      <c r="O7" s="14">
        <v>0.6843722785476487</v>
      </c>
      <c r="P7" s="14">
        <v>0.13871824746287409</v>
      </c>
      <c r="Q7" s="17"/>
      <c r="R7" s="15">
        <v>2217.5280000000002</v>
      </c>
      <c r="S7" s="15">
        <v>2222.3052069702148</v>
      </c>
      <c r="T7" s="14">
        <v>-2.1496628614429136E-3</v>
      </c>
      <c r="U7" s="15">
        <v>-4.7772069702145927</v>
      </c>
      <c r="V7" s="16"/>
      <c r="W7" s="14"/>
      <c r="X7" s="14"/>
      <c r="Y7" s="17"/>
      <c r="Z7" s="15">
        <v>3725.7533702041624</v>
      </c>
      <c r="AA7" s="15">
        <v>2367.2442000827787</v>
      </c>
      <c r="AB7" s="14">
        <v>0.57387791680886946</v>
      </c>
      <c r="AC7" s="15">
        <v>1358.5091701213837</v>
      </c>
      <c r="AD7" s="16">
        <v>9.107643392042819E-2</v>
      </c>
      <c r="AE7" s="14">
        <v>0.6843722785476487</v>
      </c>
      <c r="AF7" s="14">
        <v>0.13871824746287409</v>
      </c>
      <c r="AG7" s="17"/>
      <c r="AH7" s="15">
        <v>1812.9335999999998</v>
      </c>
      <c r="AI7" s="15">
        <v>1397.319604095459</v>
      </c>
      <c r="AJ7" s="14">
        <v>0.29743660268302397</v>
      </c>
      <c r="AK7" s="15">
        <v>415.61399590454084</v>
      </c>
      <c r="AL7" s="16"/>
      <c r="AM7" s="14"/>
      <c r="AN7" s="14"/>
      <c r="AO7" s="17"/>
      <c r="AP7" s="15">
        <v>1167.3072</v>
      </c>
      <c r="AQ7" s="15">
        <v>1057.4766038970947</v>
      </c>
      <c r="AR7" s="14">
        <v>0.10386101753755006</v>
      </c>
      <c r="AS7" s="15">
        <v>109.83059610290525</v>
      </c>
      <c r="AT7" s="16"/>
      <c r="AU7" s="14"/>
      <c r="AV7" s="14"/>
      <c r="AW7" s="17"/>
      <c r="AX7" s="15">
        <v>1050.2208000000001</v>
      </c>
      <c r="AY7" s="15">
        <v>1164.8286030731201</v>
      </c>
      <c r="AZ7" s="14">
        <v>-9.8390271985728139E-2</v>
      </c>
      <c r="BA7" s="15">
        <v>-114.60780307312007</v>
      </c>
      <c r="BB7" s="16"/>
      <c r="BC7" s="14"/>
      <c r="BD7" s="14"/>
      <c r="BE7" s="17"/>
      <c r="BF7" s="15">
        <v>2562.2081727294922</v>
      </c>
      <c r="BG7" s="15">
        <v>849.31379778480527</v>
      </c>
      <c r="BH7" s="14">
        <v>2.0167980072998781</v>
      </c>
      <c r="BI7" s="15">
        <v>1712.8943749446869</v>
      </c>
      <c r="BJ7" s="16">
        <v>0.44960984723595998</v>
      </c>
      <c r="BK7" s="14">
        <v>0.50550269004271819</v>
      </c>
      <c r="BL7" s="14">
        <v>0.20460613414759554</v>
      </c>
      <c r="BM7" s="17"/>
      <c r="BN7" s="15">
        <v>534.18359934234616</v>
      </c>
      <c r="BO7" s="15">
        <v>446.68560239410402</v>
      </c>
      <c r="BP7" s="14">
        <v>0.19588273380489207</v>
      </c>
      <c r="BQ7" s="15">
        <v>87.497996948242132</v>
      </c>
      <c r="BR7" s="16">
        <v>-0.12928938124831124</v>
      </c>
      <c r="BS7" s="14">
        <v>0.6843722785476487</v>
      </c>
      <c r="BT7" s="14">
        <v>0.13871824746287409</v>
      </c>
      <c r="BU7" s="17"/>
      <c r="BV7" s="15">
        <v>629.36159813232416</v>
      </c>
      <c r="BW7" s="15">
        <v>1071.2447999038695</v>
      </c>
      <c r="BX7" s="14">
        <v>-0.41249507284534659</v>
      </c>
      <c r="BY7" s="15">
        <v>-441.88320177154537</v>
      </c>
      <c r="BZ7" s="16"/>
      <c r="CA7" s="14"/>
      <c r="CB7" s="14"/>
      <c r="CC7" s="17"/>
      <c r="CD7" s="15">
        <v>1104.6899999999998</v>
      </c>
      <c r="CE7" s="15">
        <v>846.3888055725098</v>
      </c>
      <c r="CF7" s="14">
        <v>0.30518030570214316</v>
      </c>
      <c r="CG7" s="15">
        <v>258.30119442749003</v>
      </c>
      <c r="CH7" s="16"/>
      <c r="CI7" s="14"/>
      <c r="CJ7" s="14"/>
      <c r="CK7" s="17"/>
      <c r="CL7" s="15">
        <v>371.0376</v>
      </c>
      <c r="CM7" s="15">
        <v>229.95119931030274</v>
      </c>
      <c r="CN7" s="14">
        <v>0.61354931443219485</v>
      </c>
      <c r="CO7" s="15">
        <v>141.08640068969726</v>
      </c>
      <c r="CP7" s="16"/>
      <c r="CQ7" s="14"/>
      <c r="CR7" s="14"/>
      <c r="CS7" s="17"/>
      <c r="CT7" s="15">
        <v>337.20600000000002</v>
      </c>
      <c r="CU7" s="15">
        <v>320.97959921264646</v>
      </c>
      <c r="CV7" s="14">
        <v>5.0552747985094459E-2</v>
      </c>
      <c r="CW7" s="15">
        <v>16.226400787353555</v>
      </c>
      <c r="CX7" s="16"/>
      <c r="CY7" s="14"/>
      <c r="CZ7" s="14"/>
      <c r="DA7" s="17"/>
      <c r="DB7" s="15">
        <v>268.14959999999996</v>
      </c>
      <c r="DC7" s="15">
        <v>210.95820101928712</v>
      </c>
      <c r="DD7" s="14">
        <v>0.2711029896177588</v>
      </c>
      <c r="DE7" s="15">
        <v>57.191398980712847</v>
      </c>
      <c r="DF7" s="16"/>
      <c r="DG7" s="14"/>
      <c r="DH7" s="14"/>
      <c r="DI7" s="17"/>
      <c r="DJ7" s="15">
        <v>480.62880000000001</v>
      </c>
      <c r="DK7" s="15">
        <v>399.40620268249512</v>
      </c>
      <c r="DL7" s="14">
        <v>0.20335837744130414</v>
      </c>
      <c r="DM7" s="15">
        <v>81.222597317504892</v>
      </c>
      <c r="DN7" s="16"/>
      <c r="DO7" s="14"/>
      <c r="DP7" s="14"/>
      <c r="DQ7" s="17"/>
      <c r="DR7" s="15">
        <v>418.52880000000005</v>
      </c>
      <c r="DS7" s="15">
        <v>447.11220019531248</v>
      </c>
      <c r="DT7" s="14">
        <v>-6.3928920263921274E-2</v>
      </c>
      <c r="DU7" s="15">
        <v>-28.583400195312436</v>
      </c>
      <c r="DV7" s="16"/>
      <c r="DW7" s="14"/>
      <c r="DX7" s="14"/>
      <c r="DY7" s="17"/>
      <c r="DZ7" s="15">
        <v>287.988</v>
      </c>
      <c r="EA7" s="15">
        <v>351.17399514770506</v>
      </c>
      <c r="EB7" s="14">
        <v>-0.17992788765901868</v>
      </c>
      <c r="EC7" s="15">
        <v>-63.185995147705057</v>
      </c>
      <c r="ED7" s="16"/>
      <c r="EE7" s="14"/>
      <c r="EF7" s="14"/>
      <c r="EG7" s="17"/>
      <c r="EH7" s="15">
        <v>506.1216</v>
      </c>
      <c r="EI7" s="15">
        <v>577.06200781250004</v>
      </c>
      <c r="EJ7" s="14">
        <v>-0.12293376942526102</v>
      </c>
      <c r="EK7" s="15">
        <v>-70.940407812500041</v>
      </c>
      <c r="EL7" s="16"/>
      <c r="EM7" s="14"/>
      <c r="EN7" s="14"/>
      <c r="EO7" s="17"/>
      <c r="EP7" s="15">
        <v>256.11119999999994</v>
      </c>
      <c r="EQ7" s="15">
        <v>236.59260011291505</v>
      </c>
      <c r="ER7" s="14">
        <v>8.2498775860992746E-2</v>
      </c>
      <c r="ES7" s="15">
        <v>19.518599887084889</v>
      </c>
      <c r="ET7" s="16"/>
      <c r="EU7" s="14"/>
      <c r="EV7" s="14"/>
      <c r="EW7" s="17"/>
    </row>
    <row r="8" spans="1:153" x14ac:dyDescent="0.35">
      <c r="A8" s="7" t="s">
        <v>27</v>
      </c>
      <c r="B8" s="15">
        <v>5098.0508817043401</v>
      </c>
      <c r="C8" s="15">
        <v>1099.8804007263184</v>
      </c>
      <c r="D8" s="14">
        <v>3.6350956688907141</v>
      </c>
      <c r="E8" s="15">
        <v>3998.1704809780217</v>
      </c>
      <c r="F8" s="16">
        <v>-7.0391277078207137E-2</v>
      </c>
      <c r="G8" s="14"/>
      <c r="H8" s="14"/>
      <c r="I8" s="17"/>
      <c r="J8" s="15">
        <v>2628.3344817043412</v>
      </c>
      <c r="K8" s="15"/>
      <c r="L8" s="14"/>
      <c r="M8" s="15">
        <v>2628.3344817043412</v>
      </c>
      <c r="N8" s="16">
        <v>-7.0391277078207137E-2</v>
      </c>
      <c r="O8" s="14"/>
      <c r="P8" s="14"/>
      <c r="Q8" s="17"/>
      <c r="R8" s="15">
        <v>2469.7163999999998</v>
      </c>
      <c r="S8" s="15">
        <v>1099.8804007263184</v>
      </c>
      <c r="T8" s="14">
        <v>1.2454408664515659</v>
      </c>
      <c r="U8" s="15">
        <v>1369.8359992736814</v>
      </c>
      <c r="V8" s="16"/>
      <c r="W8" s="14"/>
      <c r="X8" s="14"/>
      <c r="Y8" s="17"/>
      <c r="Z8" s="15">
        <v>1149.5672817043412</v>
      </c>
      <c r="AA8" s="15"/>
      <c r="AB8" s="14"/>
      <c r="AC8" s="15">
        <v>1149.5672817043412</v>
      </c>
      <c r="AD8" s="16">
        <v>-7.0391277078207137E-2</v>
      </c>
      <c r="AE8" s="14"/>
      <c r="AF8" s="14"/>
      <c r="AG8" s="17"/>
      <c r="AH8" s="15">
        <v>1478.7671999999998</v>
      </c>
      <c r="AI8" s="15"/>
      <c r="AJ8" s="14"/>
      <c r="AK8" s="15">
        <v>1478.7671999999998</v>
      </c>
      <c r="AL8" s="16"/>
      <c r="AM8" s="14"/>
      <c r="AN8" s="14"/>
      <c r="AO8" s="17"/>
      <c r="AP8" s="15">
        <v>1357.3806</v>
      </c>
      <c r="AQ8" s="15"/>
      <c r="AR8" s="14"/>
      <c r="AS8" s="15">
        <v>1357.3806</v>
      </c>
      <c r="AT8" s="16"/>
      <c r="AU8" s="14"/>
      <c r="AV8" s="14"/>
      <c r="AW8" s="17"/>
      <c r="AX8" s="15">
        <v>1112.3358000000001</v>
      </c>
      <c r="AY8" s="15">
        <v>1099.8804007263184</v>
      </c>
      <c r="AZ8" s="14">
        <v>1.1324321503916712E-2</v>
      </c>
      <c r="BA8" s="15">
        <v>12.455399273681678</v>
      </c>
      <c r="BB8" s="16"/>
      <c r="BC8" s="14"/>
      <c r="BD8" s="14"/>
      <c r="BE8" s="17"/>
      <c r="BF8" s="15">
        <v>315.00539794921878</v>
      </c>
      <c r="BG8" s="15"/>
      <c r="BH8" s="14"/>
      <c r="BI8" s="15">
        <v>315.00539794921878</v>
      </c>
      <c r="BJ8" s="16">
        <v>3.0382425555499415E-2</v>
      </c>
      <c r="BK8" s="14"/>
      <c r="BL8" s="14"/>
      <c r="BM8" s="17"/>
      <c r="BN8" s="15">
        <v>386.67239987182614</v>
      </c>
      <c r="BO8" s="15"/>
      <c r="BP8" s="14"/>
      <c r="BQ8" s="15">
        <v>386.67239987182614</v>
      </c>
      <c r="BR8" s="16">
        <v>-0.16295644929883835</v>
      </c>
      <c r="BS8" s="14"/>
      <c r="BT8" s="14"/>
      <c r="BU8" s="17"/>
      <c r="BV8" s="15">
        <v>447.88948388329624</v>
      </c>
      <c r="BW8" s="15"/>
      <c r="BX8" s="14"/>
      <c r="BY8" s="15">
        <v>447.88948388329624</v>
      </c>
      <c r="BZ8" s="16"/>
      <c r="CA8" s="14"/>
      <c r="CB8" s="14"/>
      <c r="CC8" s="17"/>
      <c r="CD8" s="15">
        <v>458.28179999999992</v>
      </c>
      <c r="CE8" s="15"/>
      <c r="CF8" s="14"/>
      <c r="CG8" s="15">
        <v>458.28179999999992</v>
      </c>
      <c r="CH8" s="16"/>
      <c r="CI8" s="14"/>
      <c r="CJ8" s="14"/>
      <c r="CK8" s="17"/>
      <c r="CL8" s="15">
        <v>537.59280000000001</v>
      </c>
      <c r="CM8" s="15"/>
      <c r="CN8" s="14"/>
      <c r="CO8" s="15">
        <v>537.59280000000001</v>
      </c>
      <c r="CP8" s="16"/>
      <c r="CQ8" s="14"/>
      <c r="CR8" s="14"/>
      <c r="CS8" s="17"/>
      <c r="CT8" s="15">
        <v>482.89259999999996</v>
      </c>
      <c r="CU8" s="15"/>
      <c r="CV8" s="14"/>
      <c r="CW8" s="15">
        <v>482.89259999999996</v>
      </c>
      <c r="CX8" s="16"/>
      <c r="CY8" s="14"/>
      <c r="CZ8" s="14"/>
      <c r="DA8" s="17"/>
      <c r="DB8" s="15">
        <v>464.99700000000001</v>
      </c>
      <c r="DC8" s="15"/>
      <c r="DD8" s="14"/>
      <c r="DE8" s="15">
        <v>464.99700000000001</v>
      </c>
      <c r="DF8" s="16"/>
      <c r="DG8" s="14"/>
      <c r="DH8" s="14"/>
      <c r="DI8" s="17"/>
      <c r="DJ8" s="15">
        <v>457.7568</v>
      </c>
      <c r="DK8" s="15"/>
      <c r="DL8" s="14"/>
      <c r="DM8" s="15">
        <v>457.7568</v>
      </c>
      <c r="DN8" s="16"/>
      <c r="DO8" s="14"/>
      <c r="DP8" s="14"/>
      <c r="DQ8" s="17"/>
      <c r="DR8" s="15">
        <v>434.62679999999995</v>
      </c>
      <c r="DS8" s="15"/>
      <c r="DT8" s="14"/>
      <c r="DU8" s="15">
        <v>434.62679999999995</v>
      </c>
      <c r="DV8" s="16"/>
      <c r="DW8" s="14"/>
      <c r="DX8" s="14"/>
      <c r="DY8" s="17"/>
      <c r="DZ8" s="15">
        <v>444.57419999999996</v>
      </c>
      <c r="EA8" s="15"/>
      <c r="EB8" s="14"/>
      <c r="EC8" s="15">
        <v>444.57419999999996</v>
      </c>
      <c r="ED8" s="16"/>
      <c r="EE8" s="14"/>
      <c r="EF8" s="14"/>
      <c r="EG8" s="17"/>
      <c r="EH8" s="15">
        <v>263.20800000000003</v>
      </c>
      <c r="EI8" s="15">
        <v>646.74299957275389</v>
      </c>
      <c r="EJ8" s="14">
        <v>-0.59302535910882936</v>
      </c>
      <c r="EK8" s="15">
        <v>-383.53499957275386</v>
      </c>
      <c r="EL8" s="16"/>
      <c r="EM8" s="14"/>
      <c r="EN8" s="14"/>
      <c r="EO8" s="17"/>
      <c r="EP8" s="15">
        <v>404.55360000000002</v>
      </c>
      <c r="EQ8" s="15">
        <v>453.13740115356444</v>
      </c>
      <c r="ER8" s="14">
        <v>-0.10721648892782476</v>
      </c>
      <c r="ES8" s="15">
        <v>-48.583801153564423</v>
      </c>
      <c r="ET8" s="16"/>
      <c r="EU8" s="14"/>
      <c r="EV8" s="14"/>
      <c r="EW8" s="17"/>
    </row>
    <row r="9" spans="1:153" x14ac:dyDescent="0.35">
      <c r="A9" s="7" t="s">
        <v>28</v>
      </c>
      <c r="B9" s="15">
        <v>3441.7494330737677</v>
      </c>
      <c r="C9" s="15">
        <v>5295.4745936126701</v>
      </c>
      <c r="D9" s="14">
        <v>-0.35005836167637194</v>
      </c>
      <c r="E9" s="15">
        <v>-1853.7251605389024</v>
      </c>
      <c r="F9" s="16">
        <v>-0.12847115411504795</v>
      </c>
      <c r="G9" s="14">
        <v>-0.43231377591934927</v>
      </c>
      <c r="H9" s="14">
        <v>3.9795525035672963E-2</v>
      </c>
      <c r="I9" s="17"/>
      <c r="J9" s="15">
        <v>2078.5590330737678</v>
      </c>
      <c r="K9" s="15">
        <v>4257.0269949493413</v>
      </c>
      <c r="L9" s="14">
        <v>-0.51173458952930539</v>
      </c>
      <c r="M9" s="15">
        <v>-2178.4679618755736</v>
      </c>
      <c r="N9" s="16">
        <v>-0.12847115411504795</v>
      </c>
      <c r="O9" s="14">
        <v>-0.43231377591934927</v>
      </c>
      <c r="P9" s="14">
        <v>3.9795525035672963E-2</v>
      </c>
      <c r="Q9" s="17"/>
      <c r="R9" s="15">
        <v>1363.1904</v>
      </c>
      <c r="S9" s="15">
        <v>1038.4475986633299</v>
      </c>
      <c r="T9" s="14">
        <v>0.31271948796903426</v>
      </c>
      <c r="U9" s="15">
        <v>324.74280133667003</v>
      </c>
      <c r="V9" s="16"/>
      <c r="W9" s="14"/>
      <c r="X9" s="14"/>
      <c r="Y9" s="17"/>
      <c r="Z9" s="15">
        <v>1221.6138330737676</v>
      </c>
      <c r="AA9" s="15">
        <v>2204.2158044357298</v>
      </c>
      <c r="AB9" s="14">
        <v>-0.44578301697346934</v>
      </c>
      <c r="AC9" s="15">
        <v>-982.60197136196211</v>
      </c>
      <c r="AD9" s="16">
        <v>-0.12847115411504795</v>
      </c>
      <c r="AE9" s="14">
        <v>-0.43231377591934927</v>
      </c>
      <c r="AF9" s="14">
        <v>3.9795525035672963E-2</v>
      </c>
      <c r="AG9" s="17"/>
      <c r="AH9" s="15">
        <v>856.94519999999989</v>
      </c>
      <c r="AI9" s="15">
        <v>2052.8111905136107</v>
      </c>
      <c r="AJ9" s="14">
        <v>-0.58255040504451205</v>
      </c>
      <c r="AK9" s="15">
        <v>-1195.8659905136108</v>
      </c>
      <c r="AL9" s="16"/>
      <c r="AM9" s="14"/>
      <c r="AN9" s="14"/>
      <c r="AO9" s="17"/>
      <c r="AP9" s="15">
        <v>706.59839999999997</v>
      </c>
      <c r="AQ9" s="15">
        <v>583.71779870605462</v>
      </c>
      <c r="AR9" s="14">
        <v>0.21051371324694679</v>
      </c>
      <c r="AS9" s="15">
        <v>122.88060129394535</v>
      </c>
      <c r="AT9" s="16"/>
      <c r="AU9" s="14"/>
      <c r="AV9" s="14"/>
      <c r="AW9" s="17"/>
      <c r="AX9" s="15">
        <v>656.59199999999998</v>
      </c>
      <c r="AY9" s="15">
        <v>454.72979995727536</v>
      </c>
      <c r="AZ9" s="14">
        <v>0.44391680523618793</v>
      </c>
      <c r="BA9" s="15">
        <v>201.86220004272462</v>
      </c>
      <c r="BB9" s="16"/>
      <c r="BC9" s="14"/>
      <c r="BD9" s="14"/>
      <c r="BE9" s="17"/>
      <c r="BF9" s="15">
        <v>467.98560016632081</v>
      </c>
      <c r="BG9" s="15">
        <v>331.3698006134033</v>
      </c>
      <c r="BH9" s="14">
        <v>0.41227595061476952</v>
      </c>
      <c r="BI9" s="15">
        <v>136.61579955291751</v>
      </c>
      <c r="BJ9" s="16">
        <v>-7.2385242907585412E-2</v>
      </c>
      <c r="BK9" s="14">
        <v>-0.44737005574744204</v>
      </c>
      <c r="BL9" s="14">
        <v>0.25294401323549809</v>
      </c>
      <c r="BM9" s="17"/>
      <c r="BN9" s="15">
        <v>176.80139929962158</v>
      </c>
      <c r="BO9" s="15">
        <v>539.71019482421877</v>
      </c>
      <c r="BP9" s="14">
        <v>-0.67241419377448475</v>
      </c>
      <c r="BQ9" s="15">
        <v>-362.90879552459717</v>
      </c>
      <c r="BR9" s="16">
        <v>-0.17612372627114248</v>
      </c>
      <c r="BS9" s="14">
        <v>-0.43231377591934927</v>
      </c>
      <c r="BT9" s="14">
        <v>3.9795525035672963E-2</v>
      </c>
      <c r="BU9" s="17"/>
      <c r="BV9" s="15">
        <v>576.82683360782528</v>
      </c>
      <c r="BW9" s="15">
        <v>1333.1358089981079</v>
      </c>
      <c r="BX9" s="14">
        <v>-0.56731577554628276</v>
      </c>
      <c r="BY9" s="15">
        <v>-756.30897539028263</v>
      </c>
      <c r="BZ9" s="16"/>
      <c r="CA9" s="14"/>
      <c r="CB9" s="14"/>
      <c r="CC9" s="17"/>
      <c r="CD9" s="15">
        <v>338.58120000000002</v>
      </c>
      <c r="CE9" s="15">
        <v>1326.0725912246703</v>
      </c>
      <c r="CF9" s="14">
        <v>-0.74467370622047957</v>
      </c>
      <c r="CG9" s="15">
        <v>-987.49139122467022</v>
      </c>
      <c r="CH9" s="16"/>
      <c r="CI9" s="14"/>
      <c r="CJ9" s="14"/>
      <c r="CK9" s="17"/>
      <c r="CL9" s="15">
        <v>206.5008</v>
      </c>
      <c r="CM9" s="15">
        <v>292.16579947662353</v>
      </c>
      <c r="CN9" s="14">
        <v>-0.29320680117276243</v>
      </c>
      <c r="CO9" s="15">
        <v>-85.664999476623535</v>
      </c>
      <c r="CP9" s="16"/>
      <c r="CQ9" s="14"/>
      <c r="CR9" s="14"/>
      <c r="CS9" s="17"/>
      <c r="CT9" s="15">
        <v>311.86319999999995</v>
      </c>
      <c r="CU9" s="15">
        <v>434.57279981231687</v>
      </c>
      <c r="CV9" s="14">
        <v>-0.28236833935605887</v>
      </c>
      <c r="CW9" s="15">
        <v>-122.70959981231692</v>
      </c>
      <c r="CX9" s="16"/>
      <c r="CY9" s="14"/>
      <c r="CZ9" s="14"/>
      <c r="DA9" s="17"/>
      <c r="DB9" s="15">
        <v>255.49559999999997</v>
      </c>
      <c r="DC9" s="15">
        <v>226.38839792633055</v>
      </c>
      <c r="DD9" s="14">
        <v>0.12857196897140133</v>
      </c>
      <c r="DE9" s="15">
        <v>29.107202073669413</v>
      </c>
      <c r="DF9" s="16"/>
      <c r="DG9" s="14"/>
      <c r="DH9" s="14"/>
      <c r="DI9" s="17"/>
      <c r="DJ9" s="15">
        <v>190.45920000000001</v>
      </c>
      <c r="DK9" s="15">
        <v>119.9070002746582</v>
      </c>
      <c r="DL9" s="14">
        <v>0.58839099938898798</v>
      </c>
      <c r="DM9" s="15">
        <v>70.552199725341808</v>
      </c>
      <c r="DN9" s="16"/>
      <c r="DO9" s="14"/>
      <c r="DP9" s="14"/>
      <c r="DQ9" s="17"/>
      <c r="DR9" s="15">
        <v>260.64359999999999</v>
      </c>
      <c r="DS9" s="15">
        <v>237.42240050506592</v>
      </c>
      <c r="DT9" s="14">
        <v>9.7805427986305649E-2</v>
      </c>
      <c r="DU9" s="15">
        <v>23.221199494934069</v>
      </c>
      <c r="DV9" s="16"/>
      <c r="DW9" s="14"/>
      <c r="DX9" s="14"/>
      <c r="DY9" s="17"/>
      <c r="DZ9" s="15">
        <v>155.4408</v>
      </c>
      <c r="EA9" s="15">
        <v>119.53020010375977</v>
      </c>
      <c r="EB9" s="14">
        <v>0.30043118697256066</v>
      </c>
      <c r="EC9" s="15">
        <v>35.910599896240228</v>
      </c>
      <c r="ED9" s="16"/>
      <c r="EE9" s="14"/>
      <c r="EF9" s="14"/>
      <c r="EG9" s="17"/>
      <c r="EH9" s="15">
        <v>179.64479999999998</v>
      </c>
      <c r="EI9" s="15">
        <v>165.77760023498536</v>
      </c>
      <c r="EJ9" s="14">
        <v>8.3649417927139869E-2</v>
      </c>
      <c r="EK9" s="15">
        <v>13.867199765014618</v>
      </c>
      <c r="EL9" s="16"/>
      <c r="EM9" s="14"/>
      <c r="EN9" s="14"/>
      <c r="EO9" s="17"/>
      <c r="EP9" s="15">
        <v>321.50639999999999</v>
      </c>
      <c r="EQ9" s="15">
        <v>169.42199961853026</v>
      </c>
      <c r="ER9" s="14">
        <v>0.89766618694090616</v>
      </c>
      <c r="ES9" s="15">
        <v>152.08440038146972</v>
      </c>
      <c r="ET9" s="16"/>
      <c r="EU9" s="14"/>
      <c r="EV9" s="14"/>
      <c r="EW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BEFORE</vt:lpstr>
      <vt:lpstr>AFTER</vt:lpstr>
      <vt:lpstr>REAS O</vt:lpstr>
      <vt:lpstr>EPOS</vt:lpstr>
      <vt:lpstr>REAS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Alonso</dc:creator>
  <cp:lastModifiedBy>German Alonso</cp:lastModifiedBy>
  <dcterms:created xsi:type="dcterms:W3CDTF">2026-09-23T14:19:19Z</dcterms:created>
  <dcterms:modified xsi:type="dcterms:W3CDTF">2026-09-25T13:19:16Z</dcterms:modified>
</cp:coreProperties>
</file>